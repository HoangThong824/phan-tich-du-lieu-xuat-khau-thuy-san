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  <sheet state="visible" name="Trang tính2" sheetId="2" r:id="rId6"/>
    <sheet state="visible" name="Trang tính4" sheetId="3" r:id="rId7"/>
    <sheet state="visible" name="Trang tính3" sheetId="4" r:id="rId8"/>
  </sheets>
  <definedNames/>
  <calcPr/>
</workbook>
</file>

<file path=xl/sharedStrings.xml><?xml version="1.0" encoding="utf-8"?>
<sst xmlns="http://schemas.openxmlformats.org/spreadsheetml/2006/main" count="70" uniqueCount="17">
  <si>
    <t>Year</t>
  </si>
  <si>
    <t>Country</t>
  </si>
  <si>
    <t>Export_Seafood_HS03</t>
  </si>
  <si>
    <t>Total_Export</t>
  </si>
  <si>
    <t>Import_Seafood_HS03</t>
  </si>
  <si>
    <t>World_Seafood_Export</t>
  </si>
  <si>
    <t>World_Total_Export</t>
  </si>
  <si>
    <t>RCA</t>
  </si>
  <si>
    <t>RSCA</t>
  </si>
  <si>
    <t>SPEC</t>
  </si>
  <si>
    <t>Trade_Balance</t>
  </si>
  <si>
    <t>Việt Nam</t>
  </si>
  <si>
    <t>Indonesia</t>
  </si>
  <si>
    <t>Import_Seafood_HS03_Việt Nam</t>
  </si>
  <si>
    <t>Export_Seafood_HS03_Việt Nam</t>
  </si>
  <si>
    <t>Import_Seafood_HS03_Indonesia</t>
  </si>
  <si>
    <t>Export_Seafood_HS03_Indonesia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</si>
</sst>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b/>
      <sz val="13.0"/>
      <color rgb="FF1F1F1F"/>
      <name val="Times New Roman"/>
    </font>
    <font>
      <sz val="13.0"/>
      <color rgb="FF0A0A0A"/>
      <name val="Times New Roman"/>
    </font>
    <font>
      <sz val="13.0"/>
      <color rgb="FF212529"/>
      <name val="Times New Roman"/>
    </font>
    <font>
      <sz val="13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2" fontId="3" numFmtId="0" xfId="0" applyAlignment="1" applyBorder="1" applyFill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3" fontId="5" numFmtId="0" xfId="0" applyAlignment="1" applyBorder="1" applyFill="1" applyFont="1">
      <alignment horizontal="center" readingOrder="0" shrinkToFit="0" vertical="top" wrapText="1"/>
    </xf>
    <xf borderId="0" fillId="0" fontId="2" numFmtId="0" xfId="0" applyFont="1"/>
    <xf borderId="0" fillId="2" fontId="3" numFmtId="0" xfId="0" applyAlignment="1" applyFont="1">
      <alignment readingOrder="0"/>
    </xf>
    <xf borderId="0" fillId="0" fontId="1" numFmtId="0" xfId="0" applyFont="1"/>
    <xf borderId="1" fillId="0" fontId="6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Biểu đồ RCA Việt Nam và Indonesia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'Trang tính2'!$B$1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'Trang tính2'!$A$2:$A$49</c:f>
            </c:strRef>
          </c:cat>
          <c:val>
            <c:numRef>
              <c:f>'Trang tính2'!$B$2:$B$49</c:f>
              <c:numCache/>
            </c:numRef>
          </c:val>
          <c:smooth val="0"/>
        </c:ser>
        <c:ser>
          <c:idx val="1"/>
          <c:order val="1"/>
          <c:tx>
            <c:strRef>
              <c:f>'Trang tính2'!$C$1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'Trang tính2'!$A$2:$A$49</c:f>
            </c:strRef>
          </c:cat>
          <c:val>
            <c:numRef>
              <c:f>'Trang tính2'!$C$2:$C$49</c:f>
              <c:numCache/>
            </c:numRef>
          </c:val>
          <c:smooth val="0"/>
        </c:ser>
        <c:axId val="1314159522"/>
        <c:axId val="1870568231"/>
      </c:lineChart>
      <c:catAx>
        <c:axId val="13141595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0568231"/>
      </c:catAx>
      <c:valAx>
        <c:axId val="18705682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41595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Biểu đồ Xuất – nhập khẩu Việt Nam và Indonesia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'Trang tính4'!$B$1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'Trang tính4'!$A$2:$A$25</c:f>
            </c:strRef>
          </c:cat>
          <c:val>
            <c:numRef>
              <c:f>'Trang tính4'!$B$2:$B$25</c:f>
              <c:numCache/>
            </c:numRef>
          </c:val>
          <c:smooth val="0"/>
        </c:ser>
        <c:ser>
          <c:idx val="1"/>
          <c:order val="1"/>
          <c:tx>
            <c:strRef>
              <c:f>'Trang tính4'!$C$1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'Trang tính4'!$A$2:$A$25</c:f>
            </c:strRef>
          </c:cat>
          <c:val>
            <c:numRef>
              <c:f>'Trang tính4'!$C$2:$C$25</c:f>
              <c:numCache/>
            </c:numRef>
          </c:val>
          <c:smooth val="0"/>
        </c:ser>
        <c:ser>
          <c:idx val="2"/>
          <c:order val="2"/>
          <c:tx>
            <c:strRef>
              <c:f>'Trang tính4'!$D$1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'Trang tính4'!$A$2:$A$25</c:f>
            </c:strRef>
          </c:cat>
          <c:val>
            <c:numRef>
              <c:f>'Trang tính4'!$D$2:$D$25</c:f>
              <c:numCache/>
            </c:numRef>
          </c:val>
          <c:smooth val="0"/>
        </c:ser>
        <c:ser>
          <c:idx val="3"/>
          <c:order val="3"/>
          <c:tx>
            <c:strRef>
              <c:f>'Trang tính4'!$E$1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'Trang tính4'!$A$2:$A$25</c:f>
            </c:strRef>
          </c:cat>
          <c:val>
            <c:numRef>
              <c:f>'Trang tính4'!$E$2:$E$25</c:f>
              <c:numCache/>
            </c:numRef>
          </c:val>
          <c:smooth val="0"/>
        </c:ser>
        <c:axId val="302209219"/>
        <c:axId val="668398752"/>
      </c:lineChart>
      <c:catAx>
        <c:axId val="3022092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8398752"/>
      </c:catAx>
      <c:valAx>
        <c:axId val="668398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22092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Biểu đồ SPEC Việt Nam và Indonesia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'Trang tính3'!$B$1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'Trang tính3'!$A$2:$A$25</c:f>
            </c:strRef>
          </c:cat>
          <c:val>
            <c:numRef>
              <c:f>'Trang tính3'!$B$2:$B$25</c:f>
              <c:numCache/>
            </c:numRef>
          </c:val>
          <c:smooth val="0"/>
        </c:ser>
        <c:ser>
          <c:idx val="1"/>
          <c:order val="1"/>
          <c:tx>
            <c:strRef>
              <c:f>'Trang tính3'!$C$1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'Trang tính3'!$A$2:$A$25</c:f>
            </c:strRef>
          </c:cat>
          <c:val>
            <c:numRef>
              <c:f>'Trang tính3'!$C$2:$C$25</c:f>
              <c:numCache/>
            </c:numRef>
          </c:val>
          <c:smooth val="0"/>
        </c:ser>
        <c:axId val="1105124796"/>
        <c:axId val="1683570215"/>
      </c:lineChart>
      <c:catAx>
        <c:axId val="11051247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3570215"/>
      </c:catAx>
      <c:valAx>
        <c:axId val="1683570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51247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2</xdr:row>
      <xdr:rowOff>19050</xdr:rowOff>
    </xdr:from>
    <xdr:ext cx="4829175" cy="3619500"/>
    <xdr:graphicFrame>
      <xdr:nvGraphicFramePr>
        <xdr:cNvPr id="1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-19050</xdr:colOff>
      <xdr:row>26</xdr:row>
      <xdr:rowOff>190500</xdr:rowOff>
    </xdr:from>
    <xdr:ext cx="5867400" cy="3790950"/>
    <xdr:graphicFrame>
      <xdr:nvGraphicFramePr>
        <xdr:cNvPr id="2" name="Chart 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447675</xdr:colOff>
      <xdr:row>6</xdr:row>
      <xdr:rowOff>228600</xdr:rowOff>
    </xdr:from>
    <xdr:ext cx="4019550" cy="3648075"/>
    <xdr:graphicFrame>
      <xdr:nvGraphicFramePr>
        <xdr:cNvPr id="3" name="Chart 3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3" max="3" width="22.25"/>
    <col customWidth="1" min="4" max="4" width="14.88"/>
    <col customWidth="1" min="5" max="5" width="21.75"/>
    <col customWidth="1" min="6" max="6" width="22.75"/>
    <col customWidth="1" min="7" max="7" width="19.13"/>
    <col customWidth="1" min="8" max="8" width="13.63"/>
    <col customWidth="1" min="9" max="9" width="15.75"/>
    <col customWidth="1" min="10" max="10" width="14.75"/>
    <col customWidth="1" min="11" max="11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f t="shared" ref="A2:A49" si="1">INT((ROW(A1)-1)/2)+2000</f>
        <v>2000</v>
      </c>
      <c r="B2" s="3" t="s">
        <v>11</v>
      </c>
      <c r="C2" s="1">
        <v>1.459482E9</v>
      </c>
      <c r="D2" s="1">
        <v>1.4482743E10</v>
      </c>
      <c r="E2" s="1">
        <v>3.0627E7</v>
      </c>
      <c r="F2" s="1">
        <v>4.0694616241E10</v>
      </c>
      <c r="G2" s="4">
        <v>6.294125276022E12</v>
      </c>
      <c r="H2" s="5">
        <f t="shared" ref="H2:H49" si="2">(C2/D2)/(F2/G2)</f>
        <v>15.58641891</v>
      </c>
      <c r="I2" s="5">
        <f t="shared" ref="I2:I49" si="3">(H2-1)/(H2+1)</f>
        <v>0.8794194207</v>
      </c>
      <c r="J2" s="5">
        <f t="shared" ref="J2:J49" si="4">(C2-E2)/(C2+E2)</f>
        <v>0.95889294</v>
      </c>
      <c r="K2" s="5">
        <f t="shared" ref="K2:K49" si="5">C2-E2</f>
        <v>1428855000</v>
      </c>
    </row>
    <row r="3">
      <c r="A3" s="2">
        <f t="shared" si="1"/>
        <v>2000</v>
      </c>
      <c r="B3" s="3" t="s">
        <v>12</v>
      </c>
      <c r="C3" s="1">
        <v>1.480506796E9</v>
      </c>
      <c r="D3" s="1">
        <v>6.2124006936E10</v>
      </c>
      <c r="E3" s="1">
        <v>3.486612E7</v>
      </c>
      <c r="F3" s="1">
        <v>4.0694616241E10</v>
      </c>
      <c r="G3" s="4">
        <v>6.294125276022E12</v>
      </c>
      <c r="H3" s="5">
        <f t="shared" si="2"/>
        <v>3.685949418</v>
      </c>
      <c r="I3" s="5">
        <f t="shared" si="3"/>
        <v>0.5731921492</v>
      </c>
      <c r="J3" s="5">
        <f t="shared" si="4"/>
        <v>0.9539834457</v>
      </c>
      <c r="K3" s="5">
        <f t="shared" si="5"/>
        <v>1445640676</v>
      </c>
    </row>
    <row r="4">
      <c r="A4" s="2">
        <f t="shared" si="1"/>
        <v>2001</v>
      </c>
      <c r="B4" s="3" t="s">
        <v>11</v>
      </c>
      <c r="C4" s="1">
        <v>1.735735901E9</v>
      </c>
      <c r="D4" s="1">
        <v>1.5029192447E10</v>
      </c>
      <c r="E4" s="1">
        <v>3.7864804E7</v>
      </c>
      <c r="F4" s="1">
        <v>4.1131988197E10</v>
      </c>
      <c r="G4" s="1">
        <v>6.066957030514E12</v>
      </c>
      <c r="H4" s="5">
        <f t="shared" si="2"/>
        <v>17.03488544</v>
      </c>
      <c r="I4" s="5">
        <f t="shared" si="3"/>
        <v>0.8891038146</v>
      </c>
      <c r="J4" s="5">
        <f t="shared" si="4"/>
        <v>0.9573017716</v>
      </c>
      <c r="K4" s="5">
        <f t="shared" si="5"/>
        <v>1697871097</v>
      </c>
    </row>
    <row r="5">
      <c r="A5" s="2">
        <f t="shared" si="1"/>
        <v>2001</v>
      </c>
      <c r="B5" s="3" t="s">
        <v>12</v>
      </c>
      <c r="C5" s="1">
        <v>1.431083834E9</v>
      </c>
      <c r="D5" s="1">
        <v>5.63168667E10</v>
      </c>
      <c r="E5" s="1">
        <v>2.9569068E7</v>
      </c>
      <c r="F5" s="1">
        <v>4.1131988197E10</v>
      </c>
      <c r="G5" s="1">
        <v>6.066957030514E12</v>
      </c>
      <c r="H5" s="5">
        <f t="shared" si="2"/>
        <v>3.748157297</v>
      </c>
      <c r="I5" s="5">
        <f t="shared" si="3"/>
        <v>0.5787839629</v>
      </c>
      <c r="J5" s="5">
        <f t="shared" si="4"/>
        <v>0.9595125331</v>
      </c>
      <c r="K5" s="5">
        <f t="shared" si="5"/>
        <v>1401514766</v>
      </c>
    </row>
    <row r="6">
      <c r="A6" s="2">
        <f t="shared" si="1"/>
        <v>2002</v>
      </c>
      <c r="B6" s="3" t="s">
        <v>11</v>
      </c>
      <c r="C6" s="1">
        <v>1.934591201E9</v>
      </c>
      <c r="D6" s="1">
        <v>1.6706052543E10</v>
      </c>
      <c r="E6" s="1">
        <v>9.1639309E7</v>
      </c>
      <c r="F6" s="1">
        <v>4.1972914645E10</v>
      </c>
      <c r="G6" s="1">
        <v>6.382452185976E12</v>
      </c>
      <c r="H6" s="5">
        <f t="shared" si="2"/>
        <v>17.60896406</v>
      </c>
      <c r="I6" s="5">
        <f t="shared" si="3"/>
        <v>0.8925249147</v>
      </c>
      <c r="J6" s="5">
        <f t="shared" si="4"/>
        <v>0.9095470051</v>
      </c>
      <c r="K6" s="5">
        <f t="shared" si="5"/>
        <v>1842951892</v>
      </c>
    </row>
    <row r="7">
      <c r="A7" s="2">
        <f t="shared" si="1"/>
        <v>2002</v>
      </c>
      <c r="B7" s="3" t="s">
        <v>12</v>
      </c>
      <c r="C7" s="1">
        <v>1.392267322E9</v>
      </c>
      <c r="D7" s="1">
        <v>5.7158751145E10</v>
      </c>
      <c r="E7" s="1">
        <v>2.7146953E7</v>
      </c>
      <c r="F7" s="1">
        <v>4.1972914645E10</v>
      </c>
      <c r="G7" s="1">
        <v>6.382452185976E12</v>
      </c>
      <c r="H7" s="5">
        <f t="shared" si="2"/>
        <v>3.703892218</v>
      </c>
      <c r="I7" s="5">
        <f t="shared" si="3"/>
        <v>0.5748201899</v>
      </c>
      <c r="J7" s="5">
        <f t="shared" si="4"/>
        <v>0.9617490771</v>
      </c>
      <c r="K7" s="5">
        <f t="shared" si="5"/>
        <v>1365120369</v>
      </c>
    </row>
    <row r="8">
      <c r="A8" s="2">
        <f t="shared" si="1"/>
        <v>2003</v>
      </c>
      <c r="B8" s="3" t="s">
        <v>11</v>
      </c>
      <c r="C8" s="1">
        <v>2.074650637E9</v>
      </c>
      <c r="D8" s="1">
        <v>2.0149323745E10</v>
      </c>
      <c r="E8" s="1">
        <v>1.06726549E8</v>
      </c>
      <c r="F8" s="1">
        <v>4.6627631581E10</v>
      </c>
      <c r="G8" s="1">
        <v>7.460586625931E12</v>
      </c>
      <c r="H8" s="5">
        <f t="shared" si="2"/>
        <v>16.47457121</v>
      </c>
      <c r="I8" s="5">
        <f t="shared" si="3"/>
        <v>0.8855479785</v>
      </c>
      <c r="J8" s="5">
        <f t="shared" si="4"/>
        <v>0.9021475518</v>
      </c>
      <c r="K8" s="5">
        <f t="shared" si="5"/>
        <v>1967924088</v>
      </c>
    </row>
    <row r="9">
      <c r="A9" s="2">
        <f t="shared" si="1"/>
        <v>2003</v>
      </c>
      <c r="B9" s="3" t="s">
        <v>12</v>
      </c>
      <c r="C9" s="1">
        <v>1.437417174E9</v>
      </c>
      <c r="D9" s="1">
        <v>6.1058187386E10</v>
      </c>
      <c r="E9" s="1">
        <v>3.0132383E7</v>
      </c>
      <c r="F9" s="1">
        <v>4.6627631581E10</v>
      </c>
      <c r="G9" s="1">
        <v>7.460586625931E12</v>
      </c>
      <c r="H9" s="5">
        <f t="shared" si="2"/>
        <v>3.766765145</v>
      </c>
      <c r="I9" s="5">
        <f t="shared" si="3"/>
        <v>0.5804282487</v>
      </c>
      <c r="J9" s="5">
        <f t="shared" si="4"/>
        <v>0.9589351067</v>
      </c>
      <c r="K9" s="5">
        <f t="shared" si="5"/>
        <v>1407284791</v>
      </c>
    </row>
    <row r="10">
      <c r="A10" s="2">
        <f t="shared" si="1"/>
        <v>2004</v>
      </c>
      <c r="B10" s="3" t="s">
        <v>11</v>
      </c>
      <c r="C10" s="1">
        <v>2.198027458E9</v>
      </c>
      <c r="D10" s="1">
        <v>2.6485034706E10</v>
      </c>
      <c r="E10" s="1">
        <v>1.65105945E8</v>
      </c>
      <c r="F10" s="1">
        <v>5.1758755546E10</v>
      </c>
      <c r="G10" s="1">
        <v>9.039917778964E12</v>
      </c>
      <c r="H10" s="5">
        <f t="shared" si="2"/>
        <v>14.49483318</v>
      </c>
      <c r="I10" s="5">
        <f t="shared" si="3"/>
        <v>0.8709247156</v>
      </c>
      <c r="J10" s="5">
        <f t="shared" si="4"/>
        <v>0.8602652353</v>
      </c>
      <c r="K10" s="5">
        <f t="shared" si="5"/>
        <v>2032921513</v>
      </c>
    </row>
    <row r="11">
      <c r="A11" s="2">
        <f t="shared" si="1"/>
        <v>2004</v>
      </c>
      <c r="B11" s="3" t="s">
        <v>12</v>
      </c>
      <c r="C11" s="1">
        <v>1.460426216E9</v>
      </c>
      <c r="D11" s="1">
        <v>7.1582468122E10</v>
      </c>
      <c r="E11" s="1">
        <v>8.3419507E7</v>
      </c>
      <c r="F11" s="1">
        <v>5.1758755546E10</v>
      </c>
      <c r="G11" s="1">
        <v>9.039917778964E12</v>
      </c>
      <c r="H11" s="5">
        <f t="shared" si="2"/>
        <v>3.563309998</v>
      </c>
      <c r="I11" s="5">
        <f t="shared" si="3"/>
        <v>0.5617216448</v>
      </c>
      <c r="J11" s="5">
        <f t="shared" si="4"/>
        <v>0.8919328457</v>
      </c>
      <c r="K11" s="5">
        <f t="shared" si="5"/>
        <v>1377006709</v>
      </c>
    </row>
    <row r="12">
      <c r="A12" s="2">
        <f t="shared" si="1"/>
        <v>2005</v>
      </c>
      <c r="B12" s="3" t="s">
        <v>11</v>
      </c>
      <c r="C12" s="1">
        <v>2.437634952E9</v>
      </c>
      <c r="D12" s="1">
        <v>3.2447129167E10</v>
      </c>
      <c r="E12" s="1">
        <v>1.93667934E8</v>
      </c>
      <c r="F12" s="1">
        <v>5.6678314305E10</v>
      </c>
      <c r="G12" s="1">
        <v>1.0185629704183E13</v>
      </c>
      <c r="H12" s="5">
        <f t="shared" si="2"/>
        <v>13.50091954</v>
      </c>
      <c r="I12" s="5">
        <f t="shared" si="3"/>
        <v>0.8620777121</v>
      </c>
      <c r="J12" s="5">
        <f t="shared" si="4"/>
        <v>0.8527969281</v>
      </c>
      <c r="K12" s="5">
        <f t="shared" si="5"/>
        <v>2243967018</v>
      </c>
    </row>
    <row r="13">
      <c r="A13" s="2">
        <f t="shared" si="1"/>
        <v>2005</v>
      </c>
      <c r="B13" s="3" t="s">
        <v>12</v>
      </c>
      <c r="C13" s="1">
        <v>1.522519341E9</v>
      </c>
      <c r="D13" s="1">
        <v>8.5659947504E10</v>
      </c>
      <c r="E13" s="1">
        <v>2.893289E7</v>
      </c>
      <c r="F13" s="1">
        <v>5.6678314305E10</v>
      </c>
      <c r="G13" s="1">
        <v>1.0185629704183E13</v>
      </c>
      <c r="H13" s="5">
        <f t="shared" si="2"/>
        <v>3.194154895</v>
      </c>
      <c r="I13" s="5">
        <f t="shared" si="3"/>
        <v>0.5231458899</v>
      </c>
      <c r="J13" s="5">
        <f t="shared" si="4"/>
        <v>0.9627021839</v>
      </c>
      <c r="K13" s="5">
        <f t="shared" si="5"/>
        <v>1493586451</v>
      </c>
    </row>
    <row r="14">
      <c r="A14" s="2">
        <f t="shared" si="1"/>
        <v>2006</v>
      </c>
      <c r="B14" s="3" t="s">
        <v>11</v>
      </c>
      <c r="C14" s="1">
        <v>2.955178588E9</v>
      </c>
      <c r="D14" s="1">
        <v>3.9826222802E10</v>
      </c>
      <c r="E14" s="1">
        <v>2.04265875E8</v>
      </c>
      <c r="F14" s="6">
        <v>6.161096037E10</v>
      </c>
      <c r="G14" s="1">
        <v>1.1913905315813E13</v>
      </c>
      <c r="H14" s="5">
        <f t="shared" si="2"/>
        <v>14.34864128</v>
      </c>
      <c r="I14" s="5">
        <f t="shared" si="3"/>
        <v>0.8696953063</v>
      </c>
      <c r="J14" s="5">
        <f t="shared" si="4"/>
        <v>0.8706950685</v>
      </c>
      <c r="K14" s="5">
        <f t="shared" si="5"/>
        <v>2750912713</v>
      </c>
    </row>
    <row r="15">
      <c r="A15" s="2">
        <f t="shared" si="1"/>
        <v>2006</v>
      </c>
      <c r="B15" s="3" t="s">
        <v>12</v>
      </c>
      <c r="C15" s="1">
        <v>1.642919116E9</v>
      </c>
      <c r="D15" s="1">
        <v>1.00798615667E11</v>
      </c>
      <c r="E15" s="1">
        <v>3.59918E7</v>
      </c>
      <c r="F15" s="6">
        <v>6.161096037E10</v>
      </c>
      <c r="G15" s="1">
        <v>1.1913905315813E13</v>
      </c>
      <c r="H15" s="5">
        <f t="shared" si="2"/>
        <v>3.151793684</v>
      </c>
      <c r="I15" s="5">
        <f t="shared" si="3"/>
        <v>0.5182804946</v>
      </c>
      <c r="J15" s="5">
        <f t="shared" si="4"/>
        <v>0.9571248246</v>
      </c>
      <c r="K15" s="5">
        <f t="shared" si="5"/>
        <v>1606927316</v>
      </c>
    </row>
    <row r="16">
      <c r="A16" s="2">
        <f t="shared" si="1"/>
        <v>2007</v>
      </c>
      <c r="B16" s="3" t="s">
        <v>11</v>
      </c>
      <c r="C16" s="1">
        <v>3.307903318E9</v>
      </c>
      <c r="D16" s="1">
        <v>4.8561343186E10</v>
      </c>
      <c r="E16" s="1">
        <v>2.40381303E8</v>
      </c>
      <c r="F16" s="1">
        <v>6.6381689942E10</v>
      </c>
      <c r="G16" s="1">
        <v>1.3614725775358E13</v>
      </c>
      <c r="H16" s="5">
        <f t="shared" si="2"/>
        <v>13.97084617</v>
      </c>
      <c r="I16" s="5">
        <f t="shared" si="3"/>
        <v>0.8664070169</v>
      </c>
      <c r="J16" s="5">
        <f t="shared" si="4"/>
        <v>0.8645084436</v>
      </c>
      <c r="K16" s="5">
        <f t="shared" si="5"/>
        <v>3067522015</v>
      </c>
    </row>
    <row r="17">
      <c r="A17" s="2">
        <f t="shared" si="1"/>
        <v>2007</v>
      </c>
      <c r="B17" s="3" t="s">
        <v>12</v>
      </c>
      <c r="C17" s="1">
        <v>1.72302189E9</v>
      </c>
      <c r="D17" s="1">
        <v>1.14100872803E11</v>
      </c>
      <c r="E17" s="1">
        <v>4.5395941E7</v>
      </c>
      <c r="F17" s="1">
        <v>6.6381689942E10</v>
      </c>
      <c r="G17" s="1">
        <v>1.3614725775358E13</v>
      </c>
      <c r="H17" s="5">
        <f t="shared" si="2"/>
        <v>3.097151304</v>
      </c>
      <c r="I17" s="5">
        <f t="shared" si="3"/>
        <v>0.5118559575</v>
      </c>
      <c r="J17" s="5">
        <f t="shared" si="4"/>
        <v>0.9486592589</v>
      </c>
      <c r="K17" s="5">
        <f t="shared" si="5"/>
        <v>1677625949</v>
      </c>
    </row>
    <row r="18">
      <c r="A18" s="2">
        <f t="shared" si="1"/>
        <v>2008</v>
      </c>
      <c r="B18" s="3" t="s">
        <v>11</v>
      </c>
      <c r="C18" s="1">
        <v>3.888662117E9</v>
      </c>
      <c r="D18" s="1">
        <v>6.2685129696E10</v>
      </c>
      <c r="E18" s="1">
        <v>2.9916264E8</v>
      </c>
      <c r="F18" s="1">
        <v>7.1047680878E10</v>
      </c>
      <c r="G18" s="1">
        <v>1.5751615789187E13</v>
      </c>
      <c r="H18" s="5">
        <f t="shared" si="2"/>
        <v>13.75342565</v>
      </c>
      <c r="I18" s="5">
        <f t="shared" si="3"/>
        <v>0.8644382636</v>
      </c>
      <c r="J18" s="5">
        <f t="shared" si="4"/>
        <v>0.8571274314</v>
      </c>
      <c r="K18" s="5">
        <f t="shared" si="5"/>
        <v>3589499477</v>
      </c>
    </row>
    <row r="19">
      <c r="A19" s="2">
        <f t="shared" si="1"/>
        <v>2008</v>
      </c>
      <c r="B19" s="3" t="s">
        <v>12</v>
      </c>
      <c r="C19" s="1">
        <v>1.966300863E9</v>
      </c>
      <c r="D19" s="1">
        <v>1.37020424402E11</v>
      </c>
      <c r="E19" s="1">
        <v>1.05758594E8</v>
      </c>
      <c r="F19" s="1">
        <v>7.1047680878E10</v>
      </c>
      <c r="G19" s="1">
        <v>1.5751615789187E13</v>
      </c>
      <c r="H19" s="5">
        <f t="shared" si="2"/>
        <v>3.181558149</v>
      </c>
      <c r="I19" s="5">
        <f t="shared" si="3"/>
        <v>0.5217093894</v>
      </c>
      <c r="J19" s="5">
        <f t="shared" si="4"/>
        <v>0.8979193443</v>
      </c>
      <c r="K19" s="5">
        <f t="shared" si="5"/>
        <v>1860542269</v>
      </c>
    </row>
    <row r="20">
      <c r="A20" s="2">
        <f t="shared" si="1"/>
        <v>2009</v>
      </c>
      <c r="B20" s="3" t="s">
        <v>11</v>
      </c>
      <c r="C20" s="1">
        <v>3.611180935E9</v>
      </c>
      <c r="D20" s="1">
        <v>5.7096274457E10</v>
      </c>
      <c r="E20" s="1">
        <v>2.75755027E8</v>
      </c>
      <c r="F20" s="1">
        <v>6.9494821794E10</v>
      </c>
      <c r="G20" s="1">
        <v>1.2263213113128E13</v>
      </c>
      <c r="H20" s="5">
        <f t="shared" si="2"/>
        <v>11.16074814</v>
      </c>
      <c r="I20" s="5">
        <f t="shared" si="3"/>
        <v>0.8355364343</v>
      </c>
      <c r="J20" s="5">
        <f t="shared" si="4"/>
        <v>0.8581118754</v>
      </c>
      <c r="K20" s="5">
        <f t="shared" si="5"/>
        <v>3335425908</v>
      </c>
    </row>
    <row r="21">
      <c r="A21" s="2">
        <f t="shared" si="1"/>
        <v>2009</v>
      </c>
      <c r="B21" s="3" t="s">
        <v>12</v>
      </c>
      <c r="C21" s="1">
        <v>1.709538525E9</v>
      </c>
      <c r="D21" s="1">
        <v>1.16509991781E11</v>
      </c>
      <c r="E21" s="1">
        <v>1.48975783E8</v>
      </c>
      <c r="F21" s="1">
        <v>6.9494821794E10</v>
      </c>
      <c r="G21" s="1">
        <v>1.2263213113128E13</v>
      </c>
      <c r="H21" s="5">
        <f t="shared" si="2"/>
        <v>2.589211639</v>
      </c>
      <c r="I21" s="5">
        <f t="shared" si="3"/>
        <v>0.4427745697</v>
      </c>
      <c r="J21" s="5">
        <f t="shared" si="4"/>
        <v>0.8396829313</v>
      </c>
      <c r="K21" s="5">
        <f t="shared" si="5"/>
        <v>1560562742</v>
      </c>
    </row>
    <row r="22">
      <c r="A22" s="2">
        <f t="shared" si="1"/>
        <v>2010</v>
      </c>
      <c r="B22" s="3" t="s">
        <v>11</v>
      </c>
      <c r="C22" s="1">
        <v>4.110094313E9</v>
      </c>
      <c r="D22" s="1">
        <v>7.2236665E10</v>
      </c>
      <c r="E22" s="1">
        <v>3.2885427E8</v>
      </c>
      <c r="F22" s="1">
        <v>8.0068926297E10</v>
      </c>
      <c r="G22" s="1">
        <v>1.4912622812881E13</v>
      </c>
      <c r="H22" s="5">
        <f t="shared" si="2"/>
        <v>10.59702914</v>
      </c>
      <c r="I22" s="5">
        <f t="shared" si="3"/>
        <v>0.827542039</v>
      </c>
      <c r="J22" s="5">
        <f t="shared" si="4"/>
        <v>0.851832359</v>
      </c>
      <c r="K22" s="5">
        <f t="shared" si="5"/>
        <v>3781240043</v>
      </c>
    </row>
    <row r="23">
      <c r="A23" s="2">
        <f t="shared" si="1"/>
        <v>2010</v>
      </c>
      <c r="B23" s="3" t="s">
        <v>12</v>
      </c>
      <c r="C23" s="1">
        <v>2.015595679E9</v>
      </c>
      <c r="D23" s="1">
        <v>1.5777910347E11</v>
      </c>
      <c r="E23" s="1">
        <v>2.1631273E8</v>
      </c>
      <c r="F23" s="1">
        <v>8.0068926297E10</v>
      </c>
      <c r="G23" s="1">
        <v>1.4912622812881E13</v>
      </c>
      <c r="H23" s="5">
        <f t="shared" si="2"/>
        <v>2.379271285</v>
      </c>
      <c r="I23" s="5">
        <f t="shared" si="3"/>
        <v>0.4081564245</v>
      </c>
      <c r="J23" s="5">
        <f t="shared" si="4"/>
        <v>0.8061634347</v>
      </c>
      <c r="K23" s="5">
        <f t="shared" si="5"/>
        <v>1799282949</v>
      </c>
    </row>
    <row r="24">
      <c r="A24" s="2">
        <f t="shared" si="1"/>
        <v>2011</v>
      </c>
      <c r="B24" s="3" t="s">
        <v>11</v>
      </c>
      <c r="C24" s="1">
        <v>4.941644716E9</v>
      </c>
      <c r="D24" s="1">
        <v>9.6905673959E10</v>
      </c>
      <c r="E24" s="1">
        <v>5.32071208E8</v>
      </c>
      <c r="F24" s="1">
        <v>9.4218097334E10</v>
      </c>
      <c r="G24" s="1">
        <v>1.7897863221096E13</v>
      </c>
      <c r="H24" s="5">
        <f t="shared" si="2"/>
        <v>9.686997038</v>
      </c>
      <c r="I24" s="5">
        <f t="shared" si="3"/>
        <v>0.81285669</v>
      </c>
      <c r="J24" s="5">
        <f t="shared" si="4"/>
        <v>0.8055904927</v>
      </c>
      <c r="K24" s="5">
        <f t="shared" si="5"/>
        <v>4409573508</v>
      </c>
    </row>
    <row r="25">
      <c r="A25" s="2">
        <f t="shared" si="1"/>
        <v>2011</v>
      </c>
      <c r="B25" s="3" t="s">
        <v>12</v>
      </c>
      <c r="C25" s="1">
        <v>2.439529962E9</v>
      </c>
      <c r="D25" s="1">
        <v>2.03496619185E11</v>
      </c>
      <c r="E25" s="1">
        <v>2.51158776E8</v>
      </c>
      <c r="F25" s="1">
        <v>9.4218097334E10</v>
      </c>
      <c r="G25" s="1">
        <v>1.7897863221096E13</v>
      </c>
      <c r="H25" s="5">
        <f t="shared" si="2"/>
        <v>2.277276755</v>
      </c>
      <c r="I25" s="5">
        <f t="shared" si="3"/>
        <v>0.389737227</v>
      </c>
      <c r="J25" s="5">
        <f t="shared" si="4"/>
        <v>0.8133126493</v>
      </c>
      <c r="K25" s="5">
        <f t="shared" si="5"/>
        <v>2188371186</v>
      </c>
    </row>
    <row r="26">
      <c r="A26" s="2">
        <f t="shared" si="1"/>
        <v>2012</v>
      </c>
      <c r="B26" s="3" t="s">
        <v>11</v>
      </c>
      <c r="C26" s="1">
        <v>4.868035258E9</v>
      </c>
      <c r="D26" s="1">
        <v>1.14529170983E11</v>
      </c>
      <c r="E26" s="1">
        <v>6.42854662E8</v>
      </c>
      <c r="F26" s="1">
        <v>9.3743295754E10</v>
      </c>
      <c r="G26" s="1">
        <v>1.7857627212727E13</v>
      </c>
      <c r="H26" s="5">
        <f t="shared" si="2"/>
        <v>8.096943942</v>
      </c>
      <c r="I26" s="5">
        <f t="shared" si="3"/>
        <v>0.7801459465</v>
      </c>
      <c r="J26" s="5">
        <f t="shared" si="4"/>
        <v>0.7666966057</v>
      </c>
      <c r="K26" s="5">
        <f t="shared" si="5"/>
        <v>4225180596</v>
      </c>
    </row>
    <row r="27">
      <c r="A27" s="2">
        <f t="shared" si="1"/>
        <v>2012</v>
      </c>
      <c r="B27" s="3" t="s">
        <v>12</v>
      </c>
      <c r="C27" s="1">
        <v>2.753071881E9</v>
      </c>
      <c r="D27" s="1">
        <v>1.90031839234E11</v>
      </c>
      <c r="E27" s="1">
        <v>2.07937206E8</v>
      </c>
      <c r="F27" s="1">
        <v>9.3743295754E10</v>
      </c>
      <c r="G27" s="1">
        <v>1.7857627212727E13</v>
      </c>
      <c r="H27" s="5">
        <f t="shared" si="2"/>
        <v>2.759781592</v>
      </c>
      <c r="I27" s="5">
        <f t="shared" si="3"/>
        <v>0.4680542071</v>
      </c>
      <c r="J27" s="5">
        <f t="shared" si="4"/>
        <v>0.8595497684</v>
      </c>
      <c r="K27" s="5">
        <f t="shared" si="5"/>
        <v>2545134675</v>
      </c>
    </row>
    <row r="28">
      <c r="A28" s="2">
        <f t="shared" si="1"/>
        <v>2013</v>
      </c>
      <c r="B28" s="3" t="s">
        <v>11</v>
      </c>
      <c r="C28" s="1">
        <v>5.062027398E9</v>
      </c>
      <c r="D28" s="1">
        <v>1.32032853998E11</v>
      </c>
      <c r="E28" s="1">
        <v>7.14755472E8</v>
      </c>
      <c r="F28" s="1">
        <v>1.02000194877E11</v>
      </c>
      <c r="G28" s="1">
        <v>1.8570236149388E13</v>
      </c>
      <c r="H28" s="5">
        <f t="shared" si="2"/>
        <v>6.980055976</v>
      </c>
      <c r="I28" s="5">
        <f t="shared" si="3"/>
        <v>0.7493751916</v>
      </c>
      <c r="J28" s="5">
        <f t="shared" si="4"/>
        <v>0.7525420331</v>
      </c>
      <c r="K28" s="5">
        <f t="shared" si="5"/>
        <v>4347271926</v>
      </c>
    </row>
    <row r="29">
      <c r="A29" s="2">
        <f t="shared" si="1"/>
        <v>2013</v>
      </c>
      <c r="B29" s="3" t="s">
        <v>12</v>
      </c>
      <c r="C29" s="1">
        <v>2.856355256E9</v>
      </c>
      <c r="D29" s="1">
        <v>1.82551754383E11</v>
      </c>
      <c r="E29" s="1">
        <v>2.16456109E8</v>
      </c>
      <c r="F29" s="1">
        <v>1.02000194877E11</v>
      </c>
      <c r="G29" s="1">
        <v>1.8570236149388E13</v>
      </c>
      <c r="H29" s="5">
        <f t="shared" si="2"/>
        <v>2.848673236</v>
      </c>
      <c r="I29" s="5">
        <f t="shared" si="3"/>
        <v>0.4803403986</v>
      </c>
      <c r="J29" s="5">
        <f t="shared" si="4"/>
        <v>0.859115264</v>
      </c>
      <c r="K29" s="5">
        <f t="shared" si="5"/>
        <v>2639899147</v>
      </c>
    </row>
    <row r="30">
      <c r="A30" s="2">
        <f t="shared" si="1"/>
        <v>2014</v>
      </c>
      <c r="B30" s="3" t="s">
        <v>11</v>
      </c>
      <c r="C30" s="1">
        <v>5.76264163E9</v>
      </c>
      <c r="D30" s="1">
        <v>1.50217138752E11</v>
      </c>
      <c r="E30" s="1">
        <v>1.049754996E9</v>
      </c>
      <c r="F30" s="1">
        <v>1.08944988834E11</v>
      </c>
      <c r="G30" s="1">
        <v>1.8476626108184E13</v>
      </c>
      <c r="H30" s="5">
        <f t="shared" si="2"/>
        <v>6.506052128</v>
      </c>
      <c r="I30" s="5">
        <f t="shared" si="3"/>
        <v>0.7335483466</v>
      </c>
      <c r="J30" s="5">
        <f t="shared" si="4"/>
        <v>0.6918103705</v>
      </c>
      <c r="K30" s="5">
        <f t="shared" si="5"/>
        <v>4712886634</v>
      </c>
    </row>
    <row r="31">
      <c r="A31" s="2">
        <f t="shared" si="1"/>
        <v>2014</v>
      </c>
      <c r="B31" s="3" t="s">
        <v>12</v>
      </c>
      <c r="C31" s="1">
        <v>3.111926026E9</v>
      </c>
      <c r="D31" s="1">
        <v>1.76036194332E11</v>
      </c>
      <c r="E31" s="1">
        <v>2.10368458E8</v>
      </c>
      <c r="F31" s="1">
        <v>1.08944988834E11</v>
      </c>
      <c r="G31" s="1">
        <v>1.8476626108184E13</v>
      </c>
      <c r="H31" s="5">
        <f t="shared" si="2"/>
        <v>2.998076467</v>
      </c>
      <c r="I31" s="5">
        <f t="shared" si="3"/>
        <v>0.4997594427</v>
      </c>
      <c r="J31" s="5">
        <f t="shared" si="4"/>
        <v>0.8733595357</v>
      </c>
      <c r="K31" s="5">
        <f t="shared" si="5"/>
        <v>2901557568</v>
      </c>
    </row>
    <row r="32">
      <c r="A32" s="2">
        <f t="shared" si="1"/>
        <v>2015</v>
      </c>
      <c r="B32" s="3" t="s">
        <v>11</v>
      </c>
      <c r="C32" s="1">
        <v>4.838124426E9</v>
      </c>
      <c r="D32" s="1">
        <v>1.6201674228E11</v>
      </c>
      <c r="E32" s="1">
        <v>1.04291601E9</v>
      </c>
      <c r="F32" s="1">
        <v>9.8425834374E10</v>
      </c>
      <c r="G32" s="1">
        <v>1.6148167276498E13</v>
      </c>
      <c r="H32" s="5">
        <f t="shared" si="2"/>
        <v>4.899268851</v>
      </c>
      <c r="I32" s="5">
        <f t="shared" si="3"/>
        <v>0.6609749359</v>
      </c>
      <c r="J32" s="5">
        <f t="shared" si="4"/>
        <v>0.6453294204</v>
      </c>
      <c r="K32" s="5">
        <f t="shared" si="5"/>
        <v>3795208416</v>
      </c>
    </row>
    <row r="33">
      <c r="A33" s="2">
        <f t="shared" si="1"/>
        <v>2015</v>
      </c>
      <c r="B33" s="3" t="s">
        <v>12</v>
      </c>
      <c r="C33" s="1">
        <v>2.658638176E9</v>
      </c>
      <c r="D33" s="1">
        <v>1.50366281305E11</v>
      </c>
      <c r="E33" s="1">
        <v>1.95846315E8</v>
      </c>
      <c r="F33" s="1">
        <v>9.8425834374E10</v>
      </c>
      <c r="G33" s="1">
        <v>1.6148167276498E13</v>
      </c>
      <c r="H33" s="5">
        <f t="shared" si="2"/>
        <v>2.900834232</v>
      </c>
      <c r="I33" s="5">
        <f t="shared" si="3"/>
        <v>0.4872891589</v>
      </c>
      <c r="J33" s="5">
        <f t="shared" si="4"/>
        <v>0.8627799061</v>
      </c>
      <c r="K33" s="5">
        <f t="shared" si="5"/>
        <v>2462791861</v>
      </c>
    </row>
    <row r="34">
      <c r="A34" s="2">
        <f t="shared" si="1"/>
        <v>2016</v>
      </c>
      <c r="B34" s="3" t="s">
        <v>11</v>
      </c>
      <c r="C34" s="1">
        <v>5.184388211E9</v>
      </c>
      <c r="D34" s="1">
        <v>1.76580786634E11</v>
      </c>
      <c r="E34" s="1">
        <v>1.088047406E9</v>
      </c>
      <c r="F34" s="1">
        <v>1.06558663948E11</v>
      </c>
      <c r="G34" s="1">
        <v>1.5726308318324E13</v>
      </c>
      <c r="H34" s="5">
        <f t="shared" si="2"/>
        <v>4.333033897</v>
      </c>
      <c r="I34" s="5">
        <f t="shared" si="3"/>
        <v>0.6249789447</v>
      </c>
      <c r="J34" s="5">
        <f t="shared" si="4"/>
        <v>0.6530702035</v>
      </c>
      <c r="K34" s="5">
        <f t="shared" si="5"/>
        <v>4096340805</v>
      </c>
    </row>
    <row r="35">
      <c r="A35" s="2">
        <f t="shared" si="1"/>
        <v>2016</v>
      </c>
      <c r="B35" s="3" t="s">
        <v>12</v>
      </c>
      <c r="C35" s="1">
        <v>2.900603629E9</v>
      </c>
      <c r="D35" s="1">
        <v>1.44489796418E11</v>
      </c>
      <c r="E35" s="1">
        <v>2.35033263E8</v>
      </c>
      <c r="F35" s="1">
        <v>1.06558663948E11</v>
      </c>
      <c r="G35" s="1">
        <v>1.5726308318324E13</v>
      </c>
      <c r="H35" s="5">
        <f t="shared" si="2"/>
        <v>2.962710564</v>
      </c>
      <c r="I35" s="5">
        <f t="shared" si="3"/>
        <v>0.4952949585</v>
      </c>
      <c r="J35" s="5">
        <f t="shared" si="4"/>
        <v>0.8500889796</v>
      </c>
      <c r="K35" s="5">
        <f t="shared" si="5"/>
        <v>2665570366</v>
      </c>
    </row>
    <row r="36">
      <c r="A36" s="2">
        <f t="shared" si="1"/>
        <v>2017</v>
      </c>
      <c r="B36" s="3" t="s">
        <v>11</v>
      </c>
      <c r="C36" s="1">
        <v>6.141701246E9</v>
      </c>
      <c r="D36" s="1">
        <v>2.15118606999E11</v>
      </c>
      <c r="E36" s="1">
        <v>1.38623562E9</v>
      </c>
      <c r="F36" s="1">
        <v>1.15471083376E11</v>
      </c>
      <c r="G36" s="1">
        <v>1.7308047046871E13</v>
      </c>
      <c r="H36" s="5">
        <f t="shared" si="2"/>
        <v>4.279426154</v>
      </c>
      <c r="I36" s="5">
        <f t="shared" si="3"/>
        <v>0.621170949</v>
      </c>
      <c r="J36" s="5">
        <f t="shared" si="4"/>
        <v>0.6317090208</v>
      </c>
      <c r="K36" s="5">
        <f t="shared" si="5"/>
        <v>4755465626</v>
      </c>
    </row>
    <row r="37">
      <c r="A37" s="2">
        <f t="shared" si="1"/>
        <v>2017</v>
      </c>
      <c r="B37" s="3" t="s">
        <v>12</v>
      </c>
      <c r="C37" s="1">
        <v>3.273305247E9</v>
      </c>
      <c r="D37" s="1">
        <v>1.68827554042E11</v>
      </c>
      <c r="E37" s="1">
        <v>2.85634274E8</v>
      </c>
      <c r="F37" s="1">
        <v>1.15471083376E11</v>
      </c>
      <c r="G37" s="1">
        <v>1.7308047046871E13</v>
      </c>
      <c r="H37" s="5">
        <f t="shared" si="2"/>
        <v>2.906149854</v>
      </c>
      <c r="I37" s="5">
        <f t="shared" si="3"/>
        <v>0.4879868733</v>
      </c>
      <c r="J37" s="5">
        <f t="shared" si="4"/>
        <v>0.8394834909</v>
      </c>
      <c r="K37" s="5">
        <f t="shared" si="5"/>
        <v>2987670973</v>
      </c>
    </row>
    <row r="38">
      <c r="A38" s="2">
        <f t="shared" si="1"/>
        <v>2018</v>
      </c>
      <c r="B38" s="3" t="s">
        <v>11</v>
      </c>
      <c r="C38" s="1">
        <v>6.407587808E9</v>
      </c>
      <c r="D38" s="1">
        <v>2.43698698324E11</v>
      </c>
      <c r="E38" s="1">
        <v>1.522080124E9</v>
      </c>
      <c r="F38" s="1">
        <v>1.21299181262E11</v>
      </c>
      <c r="G38" s="1">
        <v>1.9005343303184E13</v>
      </c>
      <c r="H38" s="5">
        <f t="shared" si="2"/>
        <v>4.11963943</v>
      </c>
      <c r="I38" s="5">
        <f t="shared" si="3"/>
        <v>0.6093474888</v>
      </c>
      <c r="J38" s="5">
        <f t="shared" si="4"/>
        <v>0.6161049524</v>
      </c>
      <c r="K38" s="5">
        <f t="shared" si="5"/>
        <v>4885507684</v>
      </c>
    </row>
    <row r="39">
      <c r="A39" s="2">
        <f t="shared" si="1"/>
        <v>2018</v>
      </c>
      <c r="B39" s="3" t="s">
        <v>12</v>
      </c>
      <c r="C39" s="1">
        <v>3.311915869E9</v>
      </c>
      <c r="D39" s="1">
        <v>1.80215034094E11</v>
      </c>
      <c r="E39" s="1">
        <v>2.90777199E8</v>
      </c>
      <c r="F39" s="1">
        <v>1.21299181262E11</v>
      </c>
      <c r="G39" s="1">
        <v>1.9005343303184E13</v>
      </c>
      <c r="H39" s="5">
        <f t="shared" si="2"/>
        <v>2.879427361</v>
      </c>
      <c r="I39" s="5">
        <f t="shared" si="3"/>
        <v>0.4844599953</v>
      </c>
      <c r="J39" s="5">
        <f t="shared" si="4"/>
        <v>0.8385778674</v>
      </c>
      <c r="K39" s="5">
        <f t="shared" si="5"/>
        <v>3021138670</v>
      </c>
    </row>
    <row r="40">
      <c r="A40" s="2">
        <f t="shared" si="1"/>
        <v>2019</v>
      </c>
      <c r="B40" s="3" t="s">
        <v>11</v>
      </c>
      <c r="C40" s="1">
        <v>6.205145147E9</v>
      </c>
      <c r="D40" s="1">
        <v>2.64610322649E11</v>
      </c>
      <c r="E40" s="1">
        <v>1.572080939E9</v>
      </c>
      <c r="F40" s="1">
        <v>1.18840057874E11</v>
      </c>
      <c r="G40" s="1">
        <v>1.8453377347855E13</v>
      </c>
      <c r="H40" s="5">
        <f t="shared" si="2"/>
        <v>3.641314331</v>
      </c>
      <c r="I40" s="5">
        <f t="shared" si="3"/>
        <v>0.5690875779</v>
      </c>
      <c r="J40" s="5">
        <f t="shared" si="4"/>
        <v>0.5957219395</v>
      </c>
      <c r="K40" s="5">
        <f t="shared" si="5"/>
        <v>4633064208</v>
      </c>
    </row>
    <row r="41">
      <c r="A41" s="2">
        <f t="shared" si="1"/>
        <v>2019</v>
      </c>
      <c r="B41" s="3" t="s">
        <v>12</v>
      </c>
      <c r="C41" s="1">
        <v>3.268801475E9</v>
      </c>
      <c r="D41" s="1">
        <v>1.67682995133E11</v>
      </c>
      <c r="E41" s="1">
        <v>2.99109919E8</v>
      </c>
      <c r="F41" s="1">
        <v>1.18840057874E11</v>
      </c>
      <c r="G41" s="1">
        <v>1.8453377347855E13</v>
      </c>
      <c r="H41" s="5">
        <f t="shared" si="2"/>
        <v>3.027000764</v>
      </c>
      <c r="I41" s="5">
        <f t="shared" si="3"/>
        <v>0.5033524657</v>
      </c>
      <c r="J41" s="5">
        <f t="shared" si="4"/>
        <v>0.8323333256</v>
      </c>
      <c r="K41" s="5">
        <f t="shared" si="5"/>
        <v>2969691556</v>
      </c>
    </row>
    <row r="42">
      <c r="A42" s="2">
        <f t="shared" si="1"/>
        <v>2020</v>
      </c>
      <c r="B42" s="3" t="s">
        <v>11</v>
      </c>
      <c r="C42" s="1">
        <v>5.771043979E9</v>
      </c>
      <c r="D42" s="1">
        <v>2.81441457236E11</v>
      </c>
      <c r="E42" s="1">
        <v>1.594193516E9</v>
      </c>
      <c r="F42" s="1">
        <v>1.07548072311E11</v>
      </c>
      <c r="G42" s="1">
        <v>1.7213566103362E13</v>
      </c>
      <c r="H42" s="5">
        <f t="shared" si="2"/>
        <v>3.281969451</v>
      </c>
      <c r="I42" s="5">
        <f t="shared" si="3"/>
        <v>0.5329252058</v>
      </c>
      <c r="J42" s="5">
        <f t="shared" si="4"/>
        <v>0.5671032965</v>
      </c>
      <c r="K42" s="5">
        <f t="shared" si="5"/>
        <v>4176850463</v>
      </c>
    </row>
    <row r="43">
      <c r="A43" s="2">
        <f t="shared" si="1"/>
        <v>2020</v>
      </c>
      <c r="B43" s="3" t="s">
        <v>12</v>
      </c>
      <c r="C43" s="1">
        <v>3.513112771E9</v>
      </c>
      <c r="D43" s="1">
        <v>1.6319183731E11</v>
      </c>
      <c r="E43" s="1">
        <v>2.56754044E8</v>
      </c>
      <c r="F43" s="1">
        <v>1.07548072311E11</v>
      </c>
      <c r="G43" s="1">
        <v>1.7213566103362E13</v>
      </c>
      <c r="H43" s="5">
        <f t="shared" si="2"/>
        <v>3.445576367</v>
      </c>
      <c r="I43" s="5">
        <f t="shared" si="3"/>
        <v>0.550114578</v>
      </c>
      <c r="J43" s="5">
        <f t="shared" si="4"/>
        <v>0.863786146</v>
      </c>
      <c r="K43" s="5">
        <f t="shared" si="5"/>
        <v>3256358727</v>
      </c>
    </row>
    <row r="44">
      <c r="A44" s="2">
        <f t="shared" si="1"/>
        <v>2021</v>
      </c>
      <c r="B44" s="3" t="s">
        <v>11</v>
      </c>
      <c r="C44" s="1">
        <v>6.304923224E9</v>
      </c>
      <c r="D44" s="1">
        <v>3.3579259781E11</v>
      </c>
      <c r="E44" s="1">
        <v>1.796742074E9</v>
      </c>
      <c r="F44" s="1">
        <v>1.28352286721E11</v>
      </c>
      <c r="G44" s="1">
        <v>2.1654287816243E13</v>
      </c>
      <c r="H44" s="5">
        <f t="shared" si="2"/>
        <v>3.167735988</v>
      </c>
      <c r="I44" s="5">
        <f t="shared" si="3"/>
        <v>0.5201231542</v>
      </c>
      <c r="J44" s="5">
        <f t="shared" si="4"/>
        <v>0.556451172</v>
      </c>
      <c r="K44" s="5">
        <f t="shared" si="5"/>
        <v>4508181150</v>
      </c>
    </row>
    <row r="45">
      <c r="A45" s="2">
        <f t="shared" si="1"/>
        <v>2021</v>
      </c>
      <c r="B45" s="3" t="s">
        <v>12</v>
      </c>
      <c r="C45" s="1">
        <v>3.707404752E9</v>
      </c>
      <c r="D45" s="1">
        <v>2.31710098525E11</v>
      </c>
      <c r="E45" s="1">
        <v>3.33392815E8</v>
      </c>
      <c r="F45" s="1">
        <v>1.28352286721E11</v>
      </c>
      <c r="G45" s="1">
        <v>2.1654287816243E13</v>
      </c>
      <c r="H45" s="5">
        <f t="shared" si="2"/>
        <v>2.699388136</v>
      </c>
      <c r="I45" s="5">
        <f t="shared" si="3"/>
        <v>0.4593700562</v>
      </c>
      <c r="J45" s="5">
        <f t="shared" si="4"/>
        <v>0.8349866285</v>
      </c>
      <c r="K45" s="5">
        <f t="shared" si="5"/>
        <v>3374011937</v>
      </c>
    </row>
    <row r="46">
      <c r="A46" s="2">
        <f t="shared" si="1"/>
        <v>2022</v>
      </c>
      <c r="B46" s="3" t="s">
        <v>11</v>
      </c>
      <c r="C46" s="1">
        <v>7.979123881E9</v>
      </c>
      <c r="D46" s="1">
        <v>3.70909157439E11</v>
      </c>
      <c r="E46" s="1">
        <v>2.382894326E9</v>
      </c>
      <c r="F46" s="6">
        <v>1.33468964872E11</v>
      </c>
      <c r="G46" s="1">
        <v>2.3571237282279E13</v>
      </c>
      <c r="H46" s="5">
        <f t="shared" si="2"/>
        <v>3.799178855</v>
      </c>
      <c r="I46" s="5">
        <f t="shared" si="3"/>
        <v>0.5832620412</v>
      </c>
      <c r="J46" s="5">
        <f t="shared" si="4"/>
        <v>0.5400713879</v>
      </c>
      <c r="K46" s="5">
        <f t="shared" si="5"/>
        <v>5596229555</v>
      </c>
    </row>
    <row r="47">
      <c r="A47" s="2">
        <f t="shared" si="1"/>
        <v>2022</v>
      </c>
      <c r="B47" s="3" t="s">
        <v>12</v>
      </c>
      <c r="C47" s="1">
        <v>4.00909855E9</v>
      </c>
      <c r="D47" s="1">
        <v>2.92186677494E11</v>
      </c>
      <c r="E47" s="1">
        <v>5.3565243E8</v>
      </c>
      <c r="F47" s="6">
        <v>1.33468964872E11</v>
      </c>
      <c r="G47" s="1">
        <v>2.3571237282279E13</v>
      </c>
      <c r="H47" s="5">
        <f t="shared" si="2"/>
        <v>2.423195253</v>
      </c>
      <c r="I47" s="5">
        <f t="shared" si="3"/>
        <v>0.4157505335</v>
      </c>
      <c r="J47" s="5">
        <f t="shared" si="4"/>
        <v>0.7642764445</v>
      </c>
      <c r="K47" s="5">
        <f t="shared" si="5"/>
        <v>3473446120</v>
      </c>
    </row>
    <row r="48">
      <c r="A48" s="2">
        <f t="shared" si="1"/>
        <v>2023</v>
      </c>
      <c r="B48" s="3" t="s">
        <v>11</v>
      </c>
      <c r="C48" s="1">
        <v>6.463382524E9</v>
      </c>
      <c r="D48" s="1">
        <v>3.53077513296E11</v>
      </c>
      <c r="E48" s="1">
        <v>2.245333613E9</v>
      </c>
      <c r="F48" s="1">
        <v>1.27388058397E11</v>
      </c>
      <c r="G48" s="1">
        <v>2.2597514821305E13</v>
      </c>
      <c r="H48" s="5">
        <f t="shared" si="2"/>
        <v>3.247295136</v>
      </c>
      <c r="I48" s="5">
        <f t="shared" si="3"/>
        <v>0.5291120735</v>
      </c>
      <c r="J48" s="5">
        <f t="shared" si="4"/>
        <v>0.4843479618</v>
      </c>
      <c r="K48" s="5">
        <f t="shared" si="5"/>
        <v>4218048911</v>
      </c>
    </row>
    <row r="49">
      <c r="A49" s="2">
        <f t="shared" si="1"/>
        <v>2023</v>
      </c>
      <c r="B49" s="3" t="s">
        <v>12</v>
      </c>
      <c r="C49" s="1">
        <v>3.61887045E9</v>
      </c>
      <c r="D49" s="1">
        <v>2.59527724116E11</v>
      </c>
      <c r="E49" s="1">
        <v>4.79567997E8</v>
      </c>
      <c r="F49" s="1">
        <v>1.27388058397E11</v>
      </c>
      <c r="G49" s="1">
        <v>2.2597514821305E13</v>
      </c>
      <c r="H49" s="5">
        <f t="shared" si="2"/>
        <v>2.47355311</v>
      </c>
      <c r="I49" s="5">
        <f t="shared" si="3"/>
        <v>0.4242206938</v>
      </c>
      <c r="J49" s="5">
        <f t="shared" si="4"/>
        <v>0.7659752595</v>
      </c>
      <c r="K49" s="5">
        <f t="shared" si="5"/>
        <v>3139302453</v>
      </c>
    </row>
    <row r="50">
      <c r="A50" s="7"/>
      <c r="B50" s="8"/>
      <c r="F50" s="9"/>
      <c r="G50" s="9"/>
    </row>
    <row r="51">
      <c r="A51" s="7"/>
      <c r="B51" s="8"/>
      <c r="F51" s="9"/>
      <c r="G51" s="9"/>
    </row>
    <row r="52">
      <c r="F52" s="9"/>
      <c r="G52" s="9"/>
    </row>
    <row r="53">
      <c r="F53" s="9"/>
      <c r="G53" s="9"/>
    </row>
    <row r="54">
      <c r="F54" s="9"/>
      <c r="G54" s="9"/>
    </row>
    <row r="55">
      <c r="F55" s="9"/>
      <c r="G55" s="9"/>
    </row>
    <row r="56">
      <c r="F56" s="9"/>
      <c r="G56" s="9"/>
    </row>
    <row r="57">
      <c r="F57" s="9"/>
      <c r="G57" s="9"/>
    </row>
    <row r="58">
      <c r="F58" s="9"/>
      <c r="G58" s="9"/>
    </row>
    <row r="59">
      <c r="F59" s="9"/>
      <c r="G59" s="9"/>
    </row>
    <row r="60">
      <c r="F60" s="9"/>
      <c r="G60" s="9"/>
    </row>
    <row r="61">
      <c r="F61" s="9"/>
      <c r="G61" s="9"/>
    </row>
    <row r="62">
      <c r="F62" s="9"/>
      <c r="G62" s="9"/>
    </row>
    <row r="63">
      <c r="F63" s="9"/>
      <c r="G63" s="9"/>
    </row>
    <row r="64">
      <c r="F64" s="9"/>
      <c r="G64" s="9"/>
    </row>
    <row r="65">
      <c r="F65" s="9"/>
      <c r="G65" s="9"/>
    </row>
    <row r="66">
      <c r="F66" s="9"/>
      <c r="G66" s="9"/>
    </row>
    <row r="67">
      <c r="F67" s="9"/>
      <c r="G67" s="9"/>
    </row>
    <row r="68">
      <c r="F68" s="9"/>
      <c r="G68" s="9"/>
    </row>
    <row r="69">
      <c r="F69" s="9"/>
      <c r="G69" s="9"/>
    </row>
    <row r="70">
      <c r="F70" s="9"/>
      <c r="G70" s="9"/>
    </row>
    <row r="71">
      <c r="F71" s="9"/>
      <c r="G71" s="9"/>
    </row>
    <row r="72">
      <c r="F72" s="9"/>
      <c r="G72" s="9"/>
    </row>
    <row r="73">
      <c r="F73" s="9"/>
      <c r="G73" s="9"/>
    </row>
    <row r="74">
      <c r="F74" s="9"/>
      <c r="G74" s="9"/>
    </row>
    <row r="75">
      <c r="F75" s="9"/>
      <c r="G75" s="9"/>
    </row>
    <row r="76">
      <c r="F76" s="9"/>
      <c r="G76" s="9"/>
    </row>
    <row r="77">
      <c r="F77" s="9"/>
      <c r="G77" s="9"/>
    </row>
    <row r="78">
      <c r="F78" s="9"/>
      <c r="G78" s="9"/>
    </row>
    <row r="79">
      <c r="F79" s="9"/>
      <c r="G79" s="9"/>
    </row>
    <row r="80">
      <c r="F80" s="9"/>
      <c r="G80" s="9"/>
    </row>
    <row r="81">
      <c r="F81" s="9"/>
      <c r="G81" s="9"/>
    </row>
    <row r="82">
      <c r="F82" s="9"/>
      <c r="G82" s="9"/>
    </row>
    <row r="83">
      <c r="F83" s="9"/>
      <c r="G83" s="9"/>
    </row>
    <row r="84">
      <c r="F84" s="9"/>
      <c r="G84" s="9"/>
    </row>
    <row r="85">
      <c r="F85" s="9"/>
      <c r="G85" s="9"/>
    </row>
    <row r="86">
      <c r="F86" s="9"/>
      <c r="G86" s="9"/>
    </row>
    <row r="87">
      <c r="F87" s="9"/>
      <c r="G87" s="9"/>
    </row>
    <row r="88">
      <c r="F88" s="9"/>
      <c r="G88" s="9"/>
    </row>
    <row r="89">
      <c r="F89" s="9"/>
      <c r="G89" s="9"/>
    </row>
    <row r="90">
      <c r="F90" s="9"/>
      <c r="G90" s="9"/>
    </row>
    <row r="91">
      <c r="F91" s="9"/>
      <c r="G91" s="9"/>
    </row>
    <row r="92">
      <c r="F92" s="9"/>
      <c r="G92" s="9"/>
    </row>
    <row r="93">
      <c r="F93" s="9"/>
      <c r="G93" s="9"/>
    </row>
    <row r="94">
      <c r="F94" s="9"/>
      <c r="G94" s="9"/>
    </row>
    <row r="95">
      <c r="F95" s="9"/>
      <c r="G95" s="9"/>
    </row>
    <row r="96">
      <c r="F96" s="9"/>
      <c r="G96" s="9"/>
    </row>
    <row r="97">
      <c r="F97" s="9"/>
      <c r="G97" s="9"/>
    </row>
    <row r="98">
      <c r="F98" s="9"/>
      <c r="G98" s="9"/>
    </row>
    <row r="99">
      <c r="F99" s="9"/>
      <c r="G99" s="9"/>
    </row>
    <row r="100">
      <c r="F100" s="9"/>
      <c r="G100" s="9"/>
    </row>
    <row r="101">
      <c r="F101" s="9"/>
      <c r="G101" s="9"/>
    </row>
    <row r="102">
      <c r="F102" s="9"/>
      <c r="G102" s="9"/>
    </row>
    <row r="103">
      <c r="F103" s="9"/>
      <c r="G103" s="9"/>
    </row>
    <row r="104">
      <c r="F104" s="9"/>
      <c r="G104" s="9"/>
    </row>
    <row r="105">
      <c r="F105" s="9"/>
      <c r="G105" s="9"/>
    </row>
    <row r="106">
      <c r="F106" s="9"/>
      <c r="G106" s="9"/>
    </row>
    <row r="107">
      <c r="F107" s="9"/>
      <c r="G107" s="9"/>
    </row>
    <row r="108">
      <c r="F108" s="9"/>
      <c r="G108" s="9"/>
    </row>
    <row r="109">
      <c r="F109" s="9"/>
      <c r="G109" s="9"/>
    </row>
    <row r="110">
      <c r="F110" s="9"/>
      <c r="G110" s="9"/>
    </row>
    <row r="111">
      <c r="F111" s="9"/>
      <c r="G111" s="9"/>
    </row>
    <row r="112">
      <c r="F112" s="9"/>
      <c r="G112" s="9"/>
    </row>
    <row r="113">
      <c r="F113" s="9"/>
      <c r="G113" s="9"/>
    </row>
    <row r="114">
      <c r="F114" s="9"/>
      <c r="G114" s="9"/>
    </row>
    <row r="115">
      <c r="F115" s="9"/>
      <c r="G115" s="9"/>
    </row>
    <row r="116">
      <c r="F116" s="9"/>
      <c r="G116" s="9"/>
    </row>
    <row r="117">
      <c r="F117" s="9"/>
      <c r="G117" s="9"/>
    </row>
    <row r="118">
      <c r="F118" s="9"/>
      <c r="G118" s="9"/>
    </row>
    <row r="119">
      <c r="F119" s="9"/>
      <c r="G119" s="9"/>
    </row>
    <row r="120">
      <c r="F120" s="9"/>
      <c r="G120" s="9"/>
    </row>
    <row r="121">
      <c r="F121" s="9"/>
      <c r="G121" s="9"/>
    </row>
    <row r="122">
      <c r="F122" s="9"/>
      <c r="G122" s="9"/>
    </row>
    <row r="123">
      <c r="F123" s="9"/>
      <c r="G123" s="9"/>
    </row>
    <row r="124">
      <c r="F124" s="9"/>
      <c r="G124" s="9"/>
    </row>
    <row r="125">
      <c r="F125" s="9"/>
      <c r="G125" s="9"/>
    </row>
    <row r="126">
      <c r="F126" s="9"/>
      <c r="G126" s="9"/>
    </row>
    <row r="127">
      <c r="F127" s="9"/>
      <c r="G127" s="9"/>
    </row>
    <row r="128">
      <c r="F128" s="9"/>
      <c r="G128" s="9"/>
    </row>
    <row r="129">
      <c r="F129" s="9"/>
      <c r="G129" s="9"/>
    </row>
    <row r="130">
      <c r="F130" s="9"/>
      <c r="G130" s="9"/>
    </row>
    <row r="131">
      <c r="F131" s="9"/>
      <c r="G131" s="9"/>
    </row>
    <row r="132">
      <c r="F132" s="9"/>
      <c r="G132" s="9"/>
    </row>
    <row r="133">
      <c r="F133" s="9"/>
      <c r="G133" s="9"/>
    </row>
    <row r="134">
      <c r="F134" s="9"/>
      <c r="G134" s="9"/>
    </row>
    <row r="135">
      <c r="F135" s="9"/>
      <c r="G135" s="9"/>
    </row>
    <row r="136">
      <c r="F136" s="9"/>
      <c r="G136" s="9"/>
    </row>
    <row r="137">
      <c r="F137" s="9"/>
      <c r="G137" s="9"/>
    </row>
    <row r="138">
      <c r="F138" s="9"/>
      <c r="G138" s="9"/>
    </row>
    <row r="139">
      <c r="F139" s="9"/>
      <c r="G139" s="9"/>
    </row>
    <row r="140">
      <c r="F140" s="9"/>
      <c r="G140" s="9"/>
    </row>
    <row r="141">
      <c r="F141" s="9"/>
      <c r="G141" s="9"/>
    </row>
    <row r="142">
      <c r="F142" s="9"/>
      <c r="G142" s="9"/>
    </row>
    <row r="143">
      <c r="F143" s="9"/>
      <c r="G143" s="9"/>
    </row>
    <row r="144">
      <c r="F144" s="9"/>
      <c r="G144" s="9"/>
    </row>
    <row r="145">
      <c r="F145" s="9"/>
      <c r="G145" s="9"/>
    </row>
    <row r="146">
      <c r="F146" s="9"/>
      <c r="G146" s="9"/>
    </row>
    <row r="147">
      <c r="F147" s="9"/>
      <c r="G147" s="9"/>
    </row>
    <row r="148">
      <c r="F148" s="9"/>
      <c r="G148" s="9"/>
    </row>
    <row r="149">
      <c r="F149" s="9"/>
      <c r="G149" s="9"/>
    </row>
    <row r="150">
      <c r="F150" s="9"/>
      <c r="G150" s="9"/>
    </row>
    <row r="151">
      <c r="F151" s="9"/>
      <c r="G151" s="9"/>
    </row>
    <row r="152">
      <c r="F152" s="9"/>
      <c r="G152" s="9"/>
    </row>
    <row r="153">
      <c r="F153" s="9"/>
      <c r="G153" s="9"/>
    </row>
    <row r="154">
      <c r="F154" s="9"/>
      <c r="G154" s="9"/>
    </row>
    <row r="155">
      <c r="F155" s="9"/>
      <c r="G155" s="9"/>
    </row>
    <row r="156">
      <c r="F156" s="9"/>
      <c r="G156" s="9"/>
    </row>
    <row r="157">
      <c r="F157" s="9"/>
      <c r="G157" s="9"/>
    </row>
    <row r="158">
      <c r="F158" s="9"/>
      <c r="G158" s="9"/>
    </row>
    <row r="159">
      <c r="F159" s="9"/>
      <c r="G159" s="9"/>
    </row>
    <row r="160">
      <c r="F160" s="9"/>
      <c r="G160" s="9"/>
    </row>
    <row r="161">
      <c r="F161" s="9"/>
      <c r="G161" s="9"/>
    </row>
    <row r="162">
      <c r="F162" s="9"/>
      <c r="G162" s="9"/>
    </row>
    <row r="163">
      <c r="F163" s="9"/>
      <c r="G163" s="9"/>
    </row>
    <row r="164">
      <c r="F164" s="9"/>
      <c r="G164" s="9"/>
    </row>
    <row r="165">
      <c r="F165" s="9"/>
      <c r="G165" s="9"/>
    </row>
    <row r="166">
      <c r="F166" s="9"/>
      <c r="G166" s="9"/>
    </row>
    <row r="167">
      <c r="F167" s="9"/>
      <c r="G167" s="9"/>
    </row>
    <row r="168">
      <c r="F168" s="9"/>
      <c r="G168" s="9"/>
    </row>
    <row r="169">
      <c r="F169" s="9"/>
      <c r="G169" s="9"/>
    </row>
    <row r="170">
      <c r="F170" s="9"/>
      <c r="G170" s="9"/>
    </row>
    <row r="171">
      <c r="F171" s="9"/>
      <c r="G171" s="9"/>
    </row>
    <row r="172">
      <c r="F172" s="9"/>
      <c r="G172" s="9"/>
    </row>
    <row r="173">
      <c r="F173" s="9"/>
      <c r="G173" s="9"/>
    </row>
    <row r="174">
      <c r="F174" s="9"/>
      <c r="G174" s="9"/>
    </row>
    <row r="175">
      <c r="F175" s="9"/>
      <c r="G175" s="9"/>
    </row>
    <row r="176">
      <c r="F176" s="9"/>
      <c r="G176" s="9"/>
    </row>
    <row r="177">
      <c r="F177" s="9"/>
      <c r="G177" s="9"/>
    </row>
    <row r="178">
      <c r="F178" s="9"/>
      <c r="G178" s="9"/>
    </row>
    <row r="179">
      <c r="F179" s="9"/>
      <c r="G179" s="9"/>
    </row>
    <row r="180">
      <c r="F180" s="9"/>
      <c r="G180" s="9"/>
    </row>
    <row r="181">
      <c r="F181" s="9"/>
      <c r="G181" s="9"/>
    </row>
    <row r="182">
      <c r="F182" s="9"/>
      <c r="G182" s="9"/>
    </row>
    <row r="183">
      <c r="F183" s="9"/>
      <c r="G183" s="9"/>
    </row>
    <row r="184">
      <c r="F184" s="9"/>
      <c r="G184" s="9"/>
    </row>
    <row r="185">
      <c r="F185" s="9"/>
      <c r="G185" s="9"/>
    </row>
    <row r="186">
      <c r="F186" s="9"/>
      <c r="G186" s="9"/>
    </row>
    <row r="187">
      <c r="F187" s="9"/>
      <c r="G187" s="9"/>
    </row>
    <row r="188">
      <c r="F188" s="9"/>
      <c r="G188" s="9"/>
    </row>
    <row r="189">
      <c r="F189" s="9"/>
      <c r="G189" s="9"/>
    </row>
    <row r="190">
      <c r="F190" s="9"/>
      <c r="G190" s="9"/>
    </row>
    <row r="191">
      <c r="F191" s="9"/>
      <c r="G191" s="9"/>
    </row>
    <row r="192">
      <c r="F192" s="9"/>
      <c r="G192" s="9"/>
    </row>
    <row r="193">
      <c r="F193" s="9"/>
      <c r="G193" s="9"/>
    </row>
    <row r="194">
      <c r="F194" s="9"/>
      <c r="G194" s="9"/>
    </row>
    <row r="195">
      <c r="F195" s="9"/>
      <c r="G195" s="9"/>
    </row>
    <row r="196">
      <c r="F196" s="9"/>
      <c r="G196" s="9"/>
    </row>
    <row r="197">
      <c r="F197" s="9"/>
      <c r="G197" s="9"/>
    </row>
    <row r="198">
      <c r="F198" s="9"/>
      <c r="G198" s="9"/>
    </row>
    <row r="199">
      <c r="F199" s="9"/>
      <c r="G199" s="9"/>
    </row>
    <row r="200">
      <c r="F200" s="9"/>
      <c r="G200" s="9"/>
    </row>
    <row r="201">
      <c r="F201" s="9"/>
      <c r="G201" s="9"/>
    </row>
    <row r="202">
      <c r="F202" s="9"/>
      <c r="G202" s="9"/>
    </row>
    <row r="203">
      <c r="F203" s="9"/>
      <c r="G203" s="9"/>
    </row>
    <row r="204">
      <c r="F204" s="9"/>
      <c r="G204" s="9"/>
    </row>
    <row r="205">
      <c r="F205" s="9"/>
      <c r="G205" s="9"/>
    </row>
    <row r="206">
      <c r="F206" s="9"/>
      <c r="G206" s="9"/>
    </row>
    <row r="207">
      <c r="F207" s="9"/>
      <c r="G207" s="9"/>
    </row>
    <row r="208">
      <c r="F208" s="9"/>
      <c r="G208" s="9"/>
    </row>
    <row r="209">
      <c r="F209" s="9"/>
      <c r="G209" s="9"/>
    </row>
    <row r="210">
      <c r="F210" s="9"/>
      <c r="G210" s="9"/>
    </row>
    <row r="211">
      <c r="F211" s="9"/>
      <c r="G211" s="9"/>
    </row>
    <row r="212">
      <c r="F212" s="9"/>
      <c r="G212" s="9"/>
    </row>
    <row r="213">
      <c r="F213" s="9"/>
      <c r="G213" s="9"/>
    </row>
    <row r="214">
      <c r="F214" s="9"/>
      <c r="G214" s="9"/>
    </row>
    <row r="215">
      <c r="F215" s="9"/>
      <c r="G215" s="9"/>
    </row>
    <row r="216">
      <c r="F216" s="9"/>
      <c r="G216" s="9"/>
    </row>
    <row r="217">
      <c r="F217" s="9"/>
      <c r="G217" s="9"/>
    </row>
    <row r="218">
      <c r="F218" s="9"/>
      <c r="G218" s="9"/>
    </row>
    <row r="219">
      <c r="F219" s="9"/>
      <c r="G219" s="9"/>
    </row>
    <row r="220">
      <c r="F220" s="9"/>
      <c r="G220" s="9"/>
    </row>
    <row r="221">
      <c r="F221" s="9"/>
      <c r="G221" s="9"/>
    </row>
    <row r="222">
      <c r="F222" s="9"/>
      <c r="G222" s="9"/>
    </row>
    <row r="223">
      <c r="F223" s="9"/>
      <c r="G223" s="9"/>
    </row>
    <row r="224">
      <c r="F224" s="9"/>
      <c r="G224" s="9"/>
    </row>
    <row r="225">
      <c r="F225" s="9"/>
      <c r="G225" s="9"/>
    </row>
    <row r="226">
      <c r="F226" s="9"/>
      <c r="G226" s="9"/>
    </row>
    <row r="227">
      <c r="F227" s="9"/>
      <c r="G227" s="9"/>
    </row>
    <row r="228">
      <c r="F228" s="9"/>
      <c r="G228" s="9"/>
    </row>
    <row r="229">
      <c r="F229" s="9"/>
      <c r="G229" s="9"/>
    </row>
    <row r="230">
      <c r="F230" s="9"/>
      <c r="G230" s="9"/>
    </row>
    <row r="231">
      <c r="F231" s="9"/>
      <c r="G231" s="9"/>
    </row>
    <row r="232">
      <c r="F232" s="9"/>
      <c r="G232" s="9"/>
    </row>
    <row r="233">
      <c r="F233" s="9"/>
      <c r="G233" s="9"/>
    </row>
    <row r="234">
      <c r="F234" s="9"/>
      <c r="G234" s="9"/>
    </row>
    <row r="235">
      <c r="F235" s="9"/>
      <c r="G235" s="9"/>
    </row>
    <row r="236">
      <c r="F236" s="9"/>
      <c r="G236" s="9"/>
    </row>
    <row r="237">
      <c r="F237" s="9"/>
      <c r="G237" s="9"/>
    </row>
    <row r="238">
      <c r="F238" s="9"/>
      <c r="G238" s="9"/>
    </row>
    <row r="239">
      <c r="F239" s="9"/>
      <c r="G239" s="9"/>
    </row>
    <row r="240">
      <c r="F240" s="9"/>
      <c r="G240" s="9"/>
    </row>
    <row r="241">
      <c r="F241" s="9"/>
      <c r="G241" s="9"/>
    </row>
    <row r="242">
      <c r="F242" s="9"/>
      <c r="G242" s="9"/>
    </row>
    <row r="243">
      <c r="F243" s="9"/>
      <c r="G243" s="9"/>
    </row>
    <row r="244">
      <c r="F244" s="9"/>
      <c r="G244" s="9"/>
    </row>
    <row r="245">
      <c r="F245" s="9"/>
      <c r="G245" s="9"/>
    </row>
    <row r="246">
      <c r="F246" s="9"/>
      <c r="G246" s="9"/>
    </row>
    <row r="247">
      <c r="F247" s="9"/>
      <c r="G247" s="9"/>
    </row>
    <row r="248">
      <c r="F248" s="9"/>
      <c r="G248" s="9"/>
    </row>
    <row r="249">
      <c r="F249" s="9"/>
      <c r="G249" s="9"/>
    </row>
    <row r="250">
      <c r="F250" s="9"/>
      <c r="G250" s="9"/>
    </row>
    <row r="251">
      <c r="F251" s="9"/>
      <c r="G251" s="9"/>
    </row>
    <row r="252">
      <c r="F252" s="9"/>
      <c r="G252" s="9"/>
    </row>
    <row r="253">
      <c r="F253" s="9"/>
      <c r="G253" s="9"/>
    </row>
    <row r="254">
      <c r="F254" s="9"/>
      <c r="G254" s="9"/>
    </row>
    <row r="255">
      <c r="F255" s="9"/>
      <c r="G255" s="9"/>
    </row>
    <row r="256">
      <c r="F256" s="9"/>
      <c r="G256" s="9"/>
    </row>
    <row r="257">
      <c r="F257" s="9"/>
      <c r="G257" s="9"/>
    </row>
    <row r="258">
      <c r="F258" s="9"/>
      <c r="G258" s="9"/>
    </row>
    <row r="259">
      <c r="F259" s="9"/>
      <c r="G259" s="9"/>
    </row>
    <row r="260">
      <c r="F260" s="9"/>
      <c r="G260" s="9"/>
    </row>
    <row r="261">
      <c r="F261" s="9"/>
      <c r="G261" s="9"/>
    </row>
    <row r="262">
      <c r="F262" s="9"/>
      <c r="G262" s="9"/>
    </row>
    <row r="263">
      <c r="F263" s="9"/>
      <c r="G263" s="9"/>
    </row>
    <row r="264">
      <c r="F264" s="9"/>
      <c r="G264" s="9"/>
    </row>
    <row r="265">
      <c r="F265" s="9"/>
      <c r="G265" s="9"/>
    </row>
    <row r="266">
      <c r="F266" s="9"/>
      <c r="G266" s="9"/>
    </row>
    <row r="267">
      <c r="F267" s="9"/>
      <c r="G267" s="9"/>
    </row>
    <row r="268">
      <c r="F268" s="9"/>
      <c r="G268" s="9"/>
    </row>
    <row r="269">
      <c r="F269" s="9"/>
      <c r="G269" s="9"/>
    </row>
    <row r="270">
      <c r="F270" s="9"/>
      <c r="G270" s="9"/>
    </row>
    <row r="271">
      <c r="F271" s="9"/>
      <c r="G271" s="9"/>
    </row>
    <row r="272">
      <c r="F272" s="9"/>
      <c r="G272" s="9"/>
    </row>
    <row r="273">
      <c r="F273" s="9"/>
      <c r="G273" s="9"/>
    </row>
    <row r="274">
      <c r="F274" s="9"/>
      <c r="G274" s="9"/>
    </row>
    <row r="275">
      <c r="F275" s="9"/>
      <c r="G275" s="9"/>
    </row>
    <row r="276">
      <c r="F276" s="9"/>
      <c r="G276" s="9"/>
    </row>
    <row r="277">
      <c r="F277" s="9"/>
      <c r="G277" s="9"/>
    </row>
    <row r="278">
      <c r="F278" s="9"/>
      <c r="G278" s="9"/>
    </row>
    <row r="279">
      <c r="F279" s="9"/>
      <c r="G279" s="9"/>
    </row>
    <row r="280">
      <c r="F280" s="9"/>
      <c r="G280" s="9"/>
    </row>
    <row r="281">
      <c r="F281" s="9"/>
      <c r="G281" s="9"/>
    </row>
    <row r="282">
      <c r="F282" s="9"/>
      <c r="G282" s="9"/>
    </row>
    <row r="283">
      <c r="F283" s="9"/>
      <c r="G283" s="9"/>
    </row>
    <row r="284">
      <c r="F284" s="9"/>
      <c r="G284" s="9"/>
    </row>
    <row r="285">
      <c r="F285" s="9"/>
      <c r="G285" s="9"/>
    </row>
    <row r="286">
      <c r="F286" s="9"/>
      <c r="G286" s="9"/>
    </row>
    <row r="287">
      <c r="F287" s="9"/>
      <c r="G287" s="9"/>
    </row>
    <row r="288">
      <c r="F288" s="9"/>
      <c r="G288" s="9"/>
    </row>
    <row r="289">
      <c r="F289" s="9"/>
      <c r="G289" s="9"/>
    </row>
    <row r="290">
      <c r="F290" s="9"/>
      <c r="G290" s="9"/>
    </row>
    <row r="291">
      <c r="F291" s="9"/>
      <c r="G291" s="9"/>
    </row>
    <row r="292">
      <c r="F292" s="9"/>
      <c r="G292" s="9"/>
    </row>
    <row r="293">
      <c r="F293" s="9"/>
      <c r="G293" s="9"/>
    </row>
    <row r="294">
      <c r="F294" s="9"/>
      <c r="G294" s="9"/>
    </row>
    <row r="295">
      <c r="F295" s="9"/>
      <c r="G295" s="9"/>
    </row>
    <row r="296">
      <c r="F296" s="9"/>
      <c r="G296" s="9"/>
    </row>
    <row r="297">
      <c r="F297" s="9"/>
      <c r="G297" s="9"/>
    </row>
    <row r="298">
      <c r="F298" s="9"/>
      <c r="G298" s="9"/>
    </row>
    <row r="299">
      <c r="F299" s="9"/>
      <c r="G299" s="9"/>
    </row>
    <row r="300">
      <c r="F300" s="9"/>
      <c r="G300" s="9"/>
    </row>
    <row r="301">
      <c r="F301" s="9"/>
      <c r="G301" s="9"/>
    </row>
    <row r="302">
      <c r="F302" s="9"/>
      <c r="G302" s="9"/>
    </row>
    <row r="303">
      <c r="F303" s="9"/>
      <c r="G303" s="9"/>
    </row>
    <row r="304">
      <c r="F304" s="9"/>
      <c r="G304" s="9"/>
    </row>
    <row r="305">
      <c r="F305" s="9"/>
      <c r="G305" s="9"/>
    </row>
    <row r="306">
      <c r="F306" s="9"/>
      <c r="G306" s="9"/>
    </row>
    <row r="307">
      <c r="F307" s="9"/>
      <c r="G307" s="9"/>
    </row>
    <row r="308">
      <c r="F308" s="9"/>
      <c r="G308" s="9"/>
    </row>
    <row r="309">
      <c r="F309" s="9"/>
      <c r="G309" s="9"/>
    </row>
    <row r="310">
      <c r="F310" s="9"/>
      <c r="G310" s="9"/>
    </row>
    <row r="311">
      <c r="F311" s="9"/>
      <c r="G311" s="9"/>
    </row>
    <row r="312">
      <c r="F312" s="9"/>
      <c r="G312" s="9"/>
    </row>
    <row r="313">
      <c r="F313" s="9"/>
      <c r="G313" s="9"/>
    </row>
    <row r="314">
      <c r="F314" s="9"/>
      <c r="G314" s="9"/>
    </row>
    <row r="315">
      <c r="F315" s="9"/>
      <c r="G315" s="9"/>
    </row>
    <row r="316">
      <c r="F316" s="9"/>
      <c r="G316" s="9"/>
    </row>
    <row r="317">
      <c r="F317" s="9"/>
      <c r="G317" s="9"/>
    </row>
    <row r="318">
      <c r="F318" s="9"/>
      <c r="G318" s="9"/>
    </row>
    <row r="319">
      <c r="F319" s="9"/>
      <c r="G319" s="9"/>
    </row>
    <row r="320">
      <c r="F320" s="9"/>
      <c r="G320" s="9"/>
    </row>
    <row r="321">
      <c r="F321" s="9"/>
      <c r="G321" s="9"/>
    </row>
    <row r="322">
      <c r="F322" s="9"/>
      <c r="G322" s="9"/>
    </row>
    <row r="323">
      <c r="F323" s="9"/>
      <c r="G323" s="9"/>
    </row>
    <row r="324">
      <c r="F324" s="9"/>
      <c r="G324" s="9"/>
    </row>
    <row r="325">
      <c r="F325" s="9"/>
      <c r="G325" s="9"/>
    </row>
    <row r="326">
      <c r="F326" s="9"/>
      <c r="G326" s="9"/>
    </row>
    <row r="327">
      <c r="F327" s="9"/>
      <c r="G327" s="9"/>
    </row>
    <row r="328">
      <c r="F328" s="9"/>
      <c r="G328" s="9"/>
    </row>
    <row r="329">
      <c r="F329" s="9"/>
      <c r="G329" s="9"/>
    </row>
    <row r="330">
      <c r="F330" s="9"/>
      <c r="G330" s="9"/>
    </row>
    <row r="331">
      <c r="F331" s="9"/>
      <c r="G331" s="9"/>
    </row>
    <row r="332">
      <c r="F332" s="9"/>
      <c r="G332" s="9"/>
    </row>
    <row r="333">
      <c r="F333" s="9"/>
      <c r="G333" s="9"/>
    </row>
    <row r="334">
      <c r="F334" s="9"/>
      <c r="G334" s="9"/>
    </row>
    <row r="335">
      <c r="F335" s="9"/>
      <c r="G335" s="9"/>
    </row>
    <row r="336">
      <c r="F336" s="9"/>
      <c r="G336" s="9"/>
    </row>
    <row r="337">
      <c r="F337" s="9"/>
      <c r="G337" s="9"/>
    </row>
    <row r="338">
      <c r="F338" s="9"/>
      <c r="G338" s="9"/>
    </row>
    <row r="339">
      <c r="F339" s="9"/>
      <c r="G339" s="9"/>
    </row>
    <row r="340">
      <c r="F340" s="9"/>
      <c r="G340" s="9"/>
    </row>
    <row r="341">
      <c r="F341" s="9"/>
      <c r="G341" s="9"/>
    </row>
    <row r="342">
      <c r="F342" s="9"/>
      <c r="G342" s="9"/>
    </row>
    <row r="343">
      <c r="F343" s="9"/>
      <c r="G343" s="9"/>
    </row>
    <row r="344">
      <c r="F344" s="9"/>
      <c r="G344" s="9"/>
    </row>
    <row r="345">
      <c r="F345" s="9"/>
      <c r="G345" s="9"/>
    </row>
    <row r="346">
      <c r="F346" s="9"/>
      <c r="G346" s="9"/>
    </row>
    <row r="347">
      <c r="F347" s="9"/>
      <c r="G347" s="9"/>
    </row>
    <row r="348">
      <c r="F348" s="9"/>
      <c r="G348" s="9"/>
    </row>
    <row r="349">
      <c r="F349" s="9"/>
      <c r="G349" s="9"/>
    </row>
    <row r="350">
      <c r="F350" s="9"/>
      <c r="G350" s="9"/>
    </row>
    <row r="351">
      <c r="F351" s="9"/>
      <c r="G351" s="9"/>
    </row>
    <row r="352">
      <c r="F352" s="9"/>
      <c r="G352" s="9"/>
    </row>
    <row r="353">
      <c r="F353" s="9"/>
      <c r="G353" s="9"/>
    </row>
    <row r="354">
      <c r="F354" s="9"/>
      <c r="G354" s="9"/>
    </row>
    <row r="355">
      <c r="F355" s="9"/>
      <c r="G355" s="9"/>
    </row>
    <row r="356">
      <c r="F356" s="9"/>
      <c r="G356" s="9"/>
    </row>
    <row r="357">
      <c r="F357" s="9"/>
      <c r="G357" s="9"/>
    </row>
    <row r="358">
      <c r="F358" s="9"/>
      <c r="G358" s="9"/>
    </row>
    <row r="359">
      <c r="F359" s="9"/>
      <c r="G359" s="9"/>
    </row>
    <row r="360">
      <c r="F360" s="9"/>
      <c r="G360" s="9"/>
    </row>
    <row r="361">
      <c r="F361" s="9"/>
      <c r="G361" s="9"/>
    </row>
    <row r="362">
      <c r="F362" s="9"/>
      <c r="G362" s="9"/>
    </row>
    <row r="363">
      <c r="F363" s="9"/>
      <c r="G363" s="9"/>
    </row>
    <row r="364">
      <c r="F364" s="9"/>
      <c r="G364" s="9"/>
    </row>
    <row r="365">
      <c r="F365" s="9"/>
      <c r="G365" s="9"/>
    </row>
    <row r="366">
      <c r="F366" s="9"/>
      <c r="G366" s="9"/>
    </row>
    <row r="367">
      <c r="F367" s="9"/>
      <c r="G367" s="9"/>
    </row>
    <row r="368">
      <c r="F368" s="9"/>
      <c r="G368" s="9"/>
    </row>
    <row r="369">
      <c r="F369" s="9"/>
      <c r="G369" s="9"/>
    </row>
    <row r="370">
      <c r="F370" s="9"/>
      <c r="G370" s="9"/>
    </row>
    <row r="371">
      <c r="F371" s="9"/>
      <c r="G371" s="9"/>
    </row>
    <row r="372">
      <c r="F372" s="9"/>
      <c r="G372" s="9"/>
    </row>
    <row r="373">
      <c r="F373" s="9"/>
      <c r="G373" s="9"/>
    </row>
    <row r="374">
      <c r="F374" s="9"/>
      <c r="G374" s="9"/>
    </row>
    <row r="375">
      <c r="F375" s="9"/>
      <c r="G375" s="9"/>
    </row>
    <row r="376">
      <c r="F376" s="9"/>
      <c r="G376" s="9"/>
    </row>
    <row r="377">
      <c r="F377" s="9"/>
      <c r="G377" s="9"/>
    </row>
    <row r="378">
      <c r="F378" s="9"/>
      <c r="G378" s="9"/>
    </row>
    <row r="379">
      <c r="F379" s="9"/>
      <c r="G379" s="9"/>
    </row>
    <row r="380">
      <c r="F380" s="9"/>
      <c r="G380" s="9"/>
    </row>
    <row r="381">
      <c r="F381" s="9"/>
      <c r="G381" s="9"/>
    </row>
    <row r="382">
      <c r="F382" s="9"/>
      <c r="G382" s="9"/>
    </row>
    <row r="383">
      <c r="F383" s="9"/>
      <c r="G383" s="9"/>
    </row>
    <row r="384">
      <c r="F384" s="9"/>
      <c r="G384" s="9"/>
    </row>
    <row r="385">
      <c r="F385" s="9"/>
      <c r="G385" s="9"/>
    </row>
    <row r="386">
      <c r="F386" s="9"/>
      <c r="G386" s="9"/>
    </row>
    <row r="387">
      <c r="F387" s="9"/>
      <c r="G387" s="9"/>
    </row>
    <row r="388">
      <c r="F388" s="9"/>
      <c r="G388" s="9"/>
    </row>
    <row r="389">
      <c r="F389" s="9"/>
      <c r="G389" s="9"/>
    </row>
    <row r="390">
      <c r="F390" s="9"/>
      <c r="G390" s="9"/>
    </row>
    <row r="391">
      <c r="F391" s="9"/>
      <c r="G391" s="9"/>
    </row>
    <row r="392">
      <c r="F392" s="9"/>
      <c r="G392" s="9"/>
    </row>
    <row r="393">
      <c r="F393" s="9"/>
      <c r="G393" s="9"/>
    </row>
    <row r="394">
      <c r="F394" s="9"/>
      <c r="G394" s="9"/>
    </row>
    <row r="395">
      <c r="F395" s="9"/>
      <c r="G395" s="9"/>
    </row>
    <row r="396">
      <c r="F396" s="9"/>
      <c r="G396" s="9"/>
    </row>
    <row r="397">
      <c r="F397" s="9"/>
      <c r="G397" s="9"/>
    </row>
    <row r="398">
      <c r="F398" s="9"/>
      <c r="G398" s="9"/>
    </row>
    <row r="399">
      <c r="F399" s="9"/>
      <c r="G399" s="9"/>
    </row>
    <row r="400">
      <c r="F400" s="9"/>
      <c r="G400" s="9"/>
    </row>
    <row r="401">
      <c r="F401" s="9"/>
      <c r="G401" s="9"/>
    </row>
    <row r="402">
      <c r="F402" s="9"/>
      <c r="G402" s="9"/>
    </row>
    <row r="403">
      <c r="F403" s="9"/>
      <c r="G403" s="9"/>
    </row>
    <row r="404">
      <c r="F404" s="9"/>
      <c r="G404" s="9"/>
    </row>
    <row r="405">
      <c r="F405" s="9"/>
      <c r="G405" s="9"/>
    </row>
    <row r="406">
      <c r="F406" s="9"/>
      <c r="G406" s="9"/>
    </row>
    <row r="407">
      <c r="F407" s="9"/>
      <c r="G407" s="9"/>
    </row>
    <row r="408">
      <c r="F408" s="9"/>
      <c r="G408" s="9"/>
    </row>
    <row r="409">
      <c r="F409" s="9"/>
      <c r="G409" s="9"/>
    </row>
    <row r="410">
      <c r="F410" s="9"/>
      <c r="G410" s="9"/>
    </row>
    <row r="411">
      <c r="F411" s="9"/>
      <c r="G411" s="9"/>
    </row>
    <row r="412">
      <c r="F412" s="9"/>
      <c r="G412" s="9"/>
    </row>
    <row r="413">
      <c r="F413" s="9"/>
      <c r="G413" s="9"/>
    </row>
    <row r="414">
      <c r="F414" s="9"/>
      <c r="G414" s="9"/>
    </row>
    <row r="415">
      <c r="F415" s="9"/>
      <c r="G415" s="9"/>
    </row>
    <row r="416">
      <c r="F416" s="9"/>
      <c r="G416" s="9"/>
    </row>
    <row r="417">
      <c r="F417" s="9"/>
      <c r="G417" s="9"/>
    </row>
    <row r="418">
      <c r="F418" s="9"/>
      <c r="G418" s="9"/>
    </row>
    <row r="419">
      <c r="F419" s="9"/>
      <c r="G419" s="9"/>
    </row>
    <row r="420">
      <c r="F420" s="9"/>
      <c r="G420" s="9"/>
    </row>
    <row r="421">
      <c r="F421" s="9"/>
      <c r="G421" s="9"/>
    </row>
    <row r="422">
      <c r="F422" s="9"/>
      <c r="G422" s="9"/>
    </row>
    <row r="423">
      <c r="F423" s="9"/>
      <c r="G423" s="9"/>
    </row>
    <row r="424">
      <c r="F424" s="9"/>
      <c r="G424" s="9"/>
    </row>
    <row r="425">
      <c r="F425" s="9"/>
      <c r="G425" s="9"/>
    </row>
    <row r="426">
      <c r="F426" s="9"/>
      <c r="G426" s="9"/>
    </row>
    <row r="427">
      <c r="F427" s="9"/>
      <c r="G427" s="9"/>
    </row>
    <row r="428">
      <c r="F428" s="9"/>
      <c r="G428" s="9"/>
    </row>
    <row r="429">
      <c r="F429" s="9"/>
      <c r="G429" s="9"/>
    </row>
    <row r="430">
      <c r="F430" s="9"/>
      <c r="G430" s="9"/>
    </row>
    <row r="431">
      <c r="F431" s="9"/>
      <c r="G431" s="9"/>
    </row>
    <row r="432">
      <c r="F432" s="9"/>
      <c r="G432" s="9"/>
    </row>
    <row r="433">
      <c r="F433" s="9"/>
      <c r="G433" s="9"/>
    </row>
    <row r="434">
      <c r="F434" s="9"/>
      <c r="G434" s="9"/>
    </row>
    <row r="435">
      <c r="F435" s="9"/>
      <c r="G435" s="9"/>
    </row>
    <row r="436">
      <c r="F436" s="9"/>
      <c r="G436" s="9"/>
    </row>
    <row r="437">
      <c r="F437" s="9"/>
      <c r="G437" s="9"/>
    </row>
    <row r="438">
      <c r="F438" s="9"/>
      <c r="G438" s="9"/>
    </row>
    <row r="439">
      <c r="F439" s="9"/>
      <c r="G439" s="9"/>
    </row>
    <row r="440">
      <c r="F440" s="9"/>
      <c r="G440" s="9"/>
    </row>
    <row r="441">
      <c r="F441" s="9"/>
      <c r="G441" s="9"/>
    </row>
    <row r="442">
      <c r="F442" s="9"/>
      <c r="G442" s="9"/>
    </row>
    <row r="443">
      <c r="F443" s="9"/>
      <c r="G443" s="9"/>
    </row>
    <row r="444">
      <c r="F444" s="9"/>
      <c r="G444" s="9"/>
    </row>
    <row r="445">
      <c r="F445" s="9"/>
      <c r="G445" s="9"/>
    </row>
    <row r="446">
      <c r="F446" s="9"/>
      <c r="G446" s="9"/>
    </row>
    <row r="447">
      <c r="F447" s="9"/>
      <c r="G447" s="9"/>
    </row>
    <row r="448">
      <c r="F448" s="9"/>
      <c r="G448" s="9"/>
    </row>
    <row r="449">
      <c r="F449" s="9"/>
      <c r="G449" s="9"/>
    </row>
    <row r="450">
      <c r="F450" s="9"/>
      <c r="G450" s="9"/>
    </row>
    <row r="451">
      <c r="F451" s="9"/>
      <c r="G451" s="9"/>
    </row>
    <row r="452">
      <c r="F452" s="9"/>
      <c r="G452" s="9"/>
    </row>
    <row r="453">
      <c r="F453" s="9"/>
      <c r="G453" s="9"/>
    </row>
    <row r="454">
      <c r="F454" s="9"/>
      <c r="G454" s="9"/>
    </row>
    <row r="455">
      <c r="F455" s="9"/>
      <c r="G455" s="9"/>
    </row>
    <row r="456">
      <c r="F456" s="9"/>
      <c r="G456" s="9"/>
    </row>
    <row r="457">
      <c r="F457" s="9"/>
      <c r="G457" s="9"/>
    </row>
    <row r="458">
      <c r="F458" s="9"/>
      <c r="G458" s="9"/>
    </row>
    <row r="459">
      <c r="F459" s="9"/>
      <c r="G459" s="9"/>
    </row>
    <row r="460">
      <c r="F460" s="9"/>
      <c r="G460" s="9"/>
    </row>
    <row r="461">
      <c r="F461" s="9"/>
      <c r="G461" s="9"/>
    </row>
    <row r="462">
      <c r="F462" s="9"/>
      <c r="G462" s="9"/>
    </row>
    <row r="463">
      <c r="F463" s="9"/>
      <c r="G463" s="9"/>
    </row>
    <row r="464">
      <c r="F464" s="9"/>
      <c r="G464" s="9"/>
    </row>
    <row r="465">
      <c r="F465" s="9"/>
      <c r="G465" s="9"/>
    </row>
    <row r="466">
      <c r="F466" s="9"/>
      <c r="G466" s="9"/>
    </row>
    <row r="467">
      <c r="F467" s="9"/>
      <c r="G467" s="9"/>
    </row>
    <row r="468">
      <c r="F468" s="9"/>
      <c r="G468" s="9"/>
    </row>
    <row r="469">
      <c r="F469" s="9"/>
      <c r="G469" s="9"/>
    </row>
    <row r="470">
      <c r="F470" s="9"/>
      <c r="G470" s="9"/>
    </row>
    <row r="471">
      <c r="F471" s="9"/>
      <c r="G471" s="9"/>
    </row>
    <row r="472">
      <c r="F472" s="9"/>
      <c r="G472" s="9"/>
    </row>
    <row r="473">
      <c r="F473" s="9"/>
      <c r="G473" s="9"/>
    </row>
    <row r="474">
      <c r="F474" s="9"/>
      <c r="G474" s="9"/>
    </row>
    <row r="475">
      <c r="F475" s="9"/>
      <c r="G475" s="9"/>
    </row>
    <row r="476">
      <c r="F476" s="9"/>
      <c r="G476" s="9"/>
    </row>
    <row r="477">
      <c r="F477" s="9"/>
      <c r="G477" s="9"/>
    </row>
    <row r="478">
      <c r="F478" s="9"/>
      <c r="G478" s="9"/>
    </row>
    <row r="479">
      <c r="F479" s="9"/>
      <c r="G479" s="9"/>
    </row>
    <row r="480">
      <c r="F480" s="9"/>
      <c r="G480" s="9"/>
    </row>
    <row r="481">
      <c r="F481" s="9"/>
      <c r="G481" s="9"/>
    </row>
    <row r="482">
      <c r="F482" s="9"/>
      <c r="G482" s="9"/>
    </row>
    <row r="483">
      <c r="F483" s="9"/>
      <c r="G483" s="9"/>
    </row>
    <row r="484">
      <c r="F484" s="9"/>
      <c r="G484" s="9"/>
    </row>
    <row r="485">
      <c r="F485" s="9"/>
      <c r="G485" s="9"/>
    </row>
    <row r="486">
      <c r="F486" s="9"/>
      <c r="G486" s="9"/>
    </row>
    <row r="487">
      <c r="F487" s="9"/>
      <c r="G487" s="9"/>
    </row>
    <row r="488">
      <c r="F488" s="9"/>
      <c r="G488" s="9"/>
    </row>
    <row r="489">
      <c r="F489" s="9"/>
      <c r="G489" s="9"/>
    </row>
    <row r="490">
      <c r="F490" s="9"/>
      <c r="G490" s="9"/>
    </row>
    <row r="491">
      <c r="F491" s="9"/>
      <c r="G491" s="9"/>
    </row>
    <row r="492">
      <c r="F492" s="9"/>
      <c r="G492" s="9"/>
    </row>
    <row r="493">
      <c r="F493" s="9"/>
      <c r="G493" s="9"/>
    </row>
    <row r="494">
      <c r="F494" s="9"/>
      <c r="G494" s="9"/>
    </row>
    <row r="495">
      <c r="F495" s="9"/>
      <c r="G495" s="9"/>
    </row>
    <row r="496">
      <c r="F496" s="9"/>
      <c r="G496" s="9"/>
    </row>
    <row r="497">
      <c r="F497" s="9"/>
      <c r="G497" s="9"/>
    </row>
    <row r="498">
      <c r="F498" s="9"/>
      <c r="G498" s="9"/>
    </row>
    <row r="499">
      <c r="F499" s="9"/>
      <c r="G499" s="9"/>
    </row>
    <row r="500">
      <c r="F500" s="9"/>
      <c r="G500" s="9"/>
    </row>
    <row r="501">
      <c r="F501" s="9"/>
      <c r="G501" s="9"/>
    </row>
    <row r="502">
      <c r="F502" s="9"/>
      <c r="G502" s="9"/>
    </row>
    <row r="503">
      <c r="F503" s="9"/>
      <c r="G503" s="9"/>
    </row>
    <row r="504">
      <c r="F504" s="9"/>
      <c r="G504" s="9"/>
    </row>
    <row r="505">
      <c r="F505" s="9"/>
      <c r="G505" s="9"/>
    </row>
    <row r="506">
      <c r="F506" s="9"/>
      <c r="G506" s="9"/>
    </row>
    <row r="507">
      <c r="F507" s="9"/>
      <c r="G507" s="9"/>
    </row>
    <row r="508">
      <c r="F508" s="9"/>
      <c r="G508" s="9"/>
    </row>
    <row r="509">
      <c r="F509" s="9"/>
      <c r="G509" s="9"/>
    </row>
    <row r="510">
      <c r="F510" s="9"/>
      <c r="G510" s="9"/>
    </row>
    <row r="511">
      <c r="F511" s="9"/>
      <c r="G511" s="9"/>
    </row>
    <row r="512">
      <c r="F512" s="9"/>
      <c r="G512" s="9"/>
    </row>
    <row r="513">
      <c r="F513" s="9"/>
      <c r="G513" s="9"/>
    </row>
    <row r="514">
      <c r="F514" s="9"/>
      <c r="G514" s="9"/>
    </row>
    <row r="515">
      <c r="F515" s="9"/>
      <c r="G515" s="9"/>
    </row>
    <row r="516">
      <c r="F516" s="9"/>
      <c r="G516" s="9"/>
    </row>
    <row r="517">
      <c r="F517" s="9"/>
      <c r="G517" s="9"/>
    </row>
    <row r="518">
      <c r="F518" s="9"/>
      <c r="G518" s="9"/>
    </row>
    <row r="519">
      <c r="F519" s="9"/>
      <c r="G519" s="9"/>
    </row>
    <row r="520">
      <c r="F520" s="9"/>
      <c r="G520" s="9"/>
    </row>
    <row r="521">
      <c r="F521" s="9"/>
      <c r="G521" s="9"/>
    </row>
    <row r="522">
      <c r="F522" s="9"/>
      <c r="G522" s="9"/>
    </row>
    <row r="523">
      <c r="F523" s="9"/>
      <c r="G523" s="9"/>
    </row>
    <row r="524">
      <c r="F524" s="9"/>
      <c r="G524" s="9"/>
    </row>
    <row r="525">
      <c r="F525" s="9"/>
      <c r="G525" s="9"/>
    </row>
    <row r="526">
      <c r="F526" s="9"/>
      <c r="G526" s="9"/>
    </row>
    <row r="527">
      <c r="F527" s="9"/>
      <c r="G527" s="9"/>
    </row>
    <row r="528">
      <c r="F528" s="9"/>
      <c r="G528" s="9"/>
    </row>
    <row r="529">
      <c r="F529" s="9"/>
      <c r="G529" s="9"/>
    </row>
    <row r="530">
      <c r="F530" s="9"/>
      <c r="G530" s="9"/>
    </row>
    <row r="531">
      <c r="F531" s="9"/>
      <c r="G531" s="9"/>
    </row>
    <row r="532">
      <c r="F532" s="9"/>
      <c r="G532" s="9"/>
    </row>
    <row r="533">
      <c r="F533" s="9"/>
      <c r="G533" s="9"/>
    </row>
    <row r="534">
      <c r="F534" s="9"/>
      <c r="G534" s="9"/>
    </row>
    <row r="535">
      <c r="F535" s="9"/>
      <c r="G535" s="9"/>
    </row>
    <row r="536">
      <c r="F536" s="9"/>
      <c r="G536" s="9"/>
    </row>
    <row r="537">
      <c r="F537" s="9"/>
      <c r="G537" s="9"/>
    </row>
    <row r="538">
      <c r="F538" s="9"/>
      <c r="G538" s="9"/>
    </row>
    <row r="539">
      <c r="F539" s="9"/>
      <c r="G539" s="9"/>
    </row>
    <row r="540">
      <c r="F540" s="9"/>
      <c r="G540" s="9"/>
    </row>
    <row r="541">
      <c r="F541" s="9"/>
      <c r="G541" s="9"/>
    </row>
    <row r="542">
      <c r="F542" s="9"/>
      <c r="G542" s="9"/>
    </row>
    <row r="543">
      <c r="F543" s="9"/>
      <c r="G543" s="9"/>
    </row>
    <row r="544">
      <c r="F544" s="9"/>
      <c r="G544" s="9"/>
    </row>
    <row r="545">
      <c r="F545" s="9"/>
      <c r="G545" s="9"/>
    </row>
    <row r="546">
      <c r="F546" s="9"/>
      <c r="G546" s="9"/>
    </row>
    <row r="547">
      <c r="F547" s="9"/>
      <c r="G547" s="9"/>
    </row>
    <row r="548">
      <c r="F548" s="9"/>
      <c r="G548" s="9"/>
    </row>
    <row r="549">
      <c r="F549" s="9"/>
      <c r="G549" s="9"/>
    </row>
    <row r="550">
      <c r="F550" s="9"/>
      <c r="G550" s="9"/>
    </row>
    <row r="551">
      <c r="F551" s="9"/>
      <c r="G551" s="9"/>
    </row>
    <row r="552">
      <c r="F552" s="9"/>
      <c r="G552" s="9"/>
    </row>
    <row r="553">
      <c r="F553" s="9"/>
      <c r="G553" s="9"/>
    </row>
    <row r="554">
      <c r="F554" s="9"/>
      <c r="G554" s="9"/>
    </row>
    <row r="555">
      <c r="F555" s="9"/>
      <c r="G555" s="9"/>
    </row>
    <row r="556">
      <c r="F556" s="9"/>
      <c r="G556" s="9"/>
    </row>
    <row r="557">
      <c r="F557" s="9"/>
      <c r="G557" s="9"/>
    </row>
    <row r="558">
      <c r="F558" s="9"/>
      <c r="G558" s="9"/>
    </row>
    <row r="559">
      <c r="F559" s="9"/>
      <c r="G559" s="9"/>
    </row>
    <row r="560">
      <c r="F560" s="9"/>
      <c r="G560" s="9"/>
    </row>
    <row r="561">
      <c r="F561" s="9"/>
      <c r="G561" s="9"/>
    </row>
    <row r="562">
      <c r="F562" s="9"/>
      <c r="G562" s="9"/>
    </row>
    <row r="563">
      <c r="F563" s="9"/>
      <c r="G563" s="9"/>
    </row>
    <row r="564">
      <c r="F564" s="9"/>
      <c r="G564" s="9"/>
    </row>
    <row r="565">
      <c r="F565" s="9"/>
      <c r="G565" s="9"/>
    </row>
    <row r="566">
      <c r="F566" s="9"/>
      <c r="G566" s="9"/>
    </row>
    <row r="567">
      <c r="F567" s="9"/>
      <c r="G567" s="9"/>
    </row>
    <row r="568">
      <c r="F568" s="9"/>
      <c r="G568" s="9"/>
    </row>
    <row r="569">
      <c r="F569" s="9"/>
      <c r="G569" s="9"/>
    </row>
    <row r="570">
      <c r="F570" s="9"/>
      <c r="G570" s="9"/>
    </row>
    <row r="571">
      <c r="F571" s="9"/>
      <c r="G571" s="9"/>
    </row>
    <row r="572">
      <c r="F572" s="9"/>
      <c r="G572" s="9"/>
    </row>
    <row r="573">
      <c r="F573" s="9"/>
      <c r="G573" s="9"/>
    </row>
    <row r="574">
      <c r="F574" s="9"/>
      <c r="G574" s="9"/>
    </row>
    <row r="575">
      <c r="F575" s="9"/>
      <c r="G575" s="9"/>
    </row>
    <row r="576">
      <c r="F576" s="9"/>
      <c r="G576" s="9"/>
    </row>
    <row r="577">
      <c r="F577" s="9"/>
      <c r="G577" s="9"/>
    </row>
    <row r="578">
      <c r="F578" s="9"/>
      <c r="G578" s="9"/>
    </row>
    <row r="579">
      <c r="F579" s="9"/>
      <c r="G579" s="9"/>
    </row>
    <row r="580">
      <c r="F580" s="9"/>
      <c r="G580" s="9"/>
    </row>
    <row r="581">
      <c r="F581" s="9"/>
      <c r="G581" s="9"/>
    </row>
    <row r="582">
      <c r="F582" s="9"/>
      <c r="G582" s="9"/>
    </row>
    <row r="583">
      <c r="F583" s="9"/>
      <c r="G583" s="9"/>
    </row>
    <row r="584">
      <c r="F584" s="9"/>
      <c r="G584" s="9"/>
    </row>
    <row r="585">
      <c r="F585" s="9"/>
      <c r="G585" s="9"/>
    </row>
    <row r="586">
      <c r="F586" s="9"/>
      <c r="G586" s="9"/>
    </row>
    <row r="587">
      <c r="F587" s="9"/>
      <c r="G587" s="9"/>
    </row>
    <row r="588">
      <c r="F588" s="9"/>
      <c r="G588" s="9"/>
    </row>
    <row r="589">
      <c r="F589" s="9"/>
      <c r="G589" s="9"/>
    </row>
    <row r="590">
      <c r="F590" s="9"/>
      <c r="G590" s="9"/>
    </row>
    <row r="591">
      <c r="F591" s="9"/>
      <c r="G591" s="9"/>
    </row>
    <row r="592">
      <c r="F592" s="9"/>
      <c r="G592" s="9"/>
    </row>
    <row r="593">
      <c r="F593" s="9"/>
      <c r="G593" s="9"/>
    </row>
    <row r="594">
      <c r="F594" s="9"/>
      <c r="G594" s="9"/>
    </row>
    <row r="595">
      <c r="F595" s="9"/>
      <c r="G595" s="9"/>
    </row>
    <row r="596">
      <c r="F596" s="9"/>
      <c r="G596" s="9"/>
    </row>
    <row r="597">
      <c r="F597" s="9"/>
      <c r="G597" s="9"/>
    </row>
    <row r="598">
      <c r="F598" s="9"/>
      <c r="G598" s="9"/>
    </row>
    <row r="599">
      <c r="F599" s="9"/>
      <c r="G599" s="9"/>
    </row>
    <row r="600">
      <c r="F600" s="9"/>
      <c r="G600" s="9"/>
    </row>
    <row r="601">
      <c r="F601" s="9"/>
      <c r="G601" s="9"/>
    </row>
    <row r="602">
      <c r="F602" s="9"/>
      <c r="G602" s="9"/>
    </row>
    <row r="603">
      <c r="F603" s="9"/>
      <c r="G603" s="9"/>
    </row>
    <row r="604">
      <c r="F604" s="9"/>
      <c r="G604" s="9"/>
    </row>
    <row r="605">
      <c r="F605" s="9"/>
      <c r="G605" s="9"/>
    </row>
    <row r="606">
      <c r="F606" s="9"/>
      <c r="G606" s="9"/>
    </row>
    <row r="607">
      <c r="F607" s="9"/>
      <c r="G607" s="9"/>
    </row>
    <row r="608">
      <c r="F608" s="9"/>
      <c r="G608" s="9"/>
    </row>
    <row r="609">
      <c r="F609" s="9"/>
      <c r="G609" s="9"/>
    </row>
    <row r="610">
      <c r="F610" s="9"/>
      <c r="G610" s="9"/>
    </row>
    <row r="611">
      <c r="F611" s="9"/>
      <c r="G611" s="9"/>
    </row>
    <row r="612">
      <c r="F612" s="9"/>
      <c r="G612" s="9"/>
    </row>
    <row r="613">
      <c r="F613" s="9"/>
      <c r="G613" s="9"/>
    </row>
    <row r="614">
      <c r="F614" s="9"/>
      <c r="G614" s="9"/>
    </row>
    <row r="615">
      <c r="F615" s="9"/>
      <c r="G615" s="9"/>
    </row>
    <row r="616">
      <c r="F616" s="9"/>
      <c r="G616" s="9"/>
    </row>
    <row r="617">
      <c r="F617" s="9"/>
      <c r="G617" s="9"/>
    </row>
    <row r="618">
      <c r="F618" s="9"/>
      <c r="G618" s="9"/>
    </row>
    <row r="619">
      <c r="F619" s="9"/>
      <c r="G619" s="9"/>
    </row>
    <row r="620">
      <c r="F620" s="9"/>
      <c r="G620" s="9"/>
    </row>
    <row r="621">
      <c r="F621" s="9"/>
      <c r="G621" s="9"/>
    </row>
    <row r="622">
      <c r="F622" s="9"/>
      <c r="G622" s="9"/>
    </row>
    <row r="623">
      <c r="F623" s="9"/>
      <c r="G623" s="9"/>
    </row>
    <row r="624">
      <c r="F624" s="9"/>
      <c r="G624" s="9"/>
    </row>
    <row r="625">
      <c r="F625" s="9"/>
      <c r="G625" s="9"/>
    </row>
    <row r="626">
      <c r="F626" s="9"/>
      <c r="G626" s="9"/>
    </row>
    <row r="627">
      <c r="F627" s="9"/>
      <c r="G627" s="9"/>
    </row>
    <row r="628">
      <c r="F628" s="9"/>
      <c r="G628" s="9"/>
    </row>
    <row r="629">
      <c r="F629" s="9"/>
      <c r="G629" s="9"/>
    </row>
    <row r="630">
      <c r="F630" s="9"/>
      <c r="G630" s="9"/>
    </row>
    <row r="631">
      <c r="F631" s="9"/>
      <c r="G631" s="9"/>
    </row>
    <row r="632">
      <c r="F632" s="9"/>
      <c r="G632" s="9"/>
    </row>
    <row r="633">
      <c r="F633" s="9"/>
      <c r="G633" s="9"/>
    </row>
    <row r="634">
      <c r="F634" s="9"/>
      <c r="G634" s="9"/>
    </row>
    <row r="635">
      <c r="F635" s="9"/>
      <c r="G635" s="9"/>
    </row>
    <row r="636">
      <c r="F636" s="9"/>
      <c r="G636" s="9"/>
    </row>
    <row r="637">
      <c r="F637" s="9"/>
      <c r="G637" s="9"/>
    </row>
    <row r="638">
      <c r="F638" s="9"/>
      <c r="G638" s="9"/>
    </row>
    <row r="639">
      <c r="F639" s="9"/>
      <c r="G639" s="9"/>
    </row>
    <row r="640">
      <c r="F640" s="9"/>
      <c r="G640" s="9"/>
    </row>
    <row r="641">
      <c r="F641" s="9"/>
      <c r="G641" s="9"/>
    </row>
    <row r="642">
      <c r="F642" s="9"/>
      <c r="G642" s="9"/>
    </row>
    <row r="643">
      <c r="F643" s="9"/>
      <c r="G643" s="9"/>
    </row>
    <row r="644">
      <c r="F644" s="9"/>
      <c r="G644" s="9"/>
    </row>
    <row r="645">
      <c r="F645" s="9"/>
      <c r="G645" s="9"/>
    </row>
    <row r="646">
      <c r="F646" s="9"/>
      <c r="G646" s="9"/>
    </row>
    <row r="647">
      <c r="F647" s="9"/>
      <c r="G647" s="9"/>
    </row>
    <row r="648">
      <c r="F648" s="9"/>
      <c r="G648" s="9"/>
    </row>
    <row r="649">
      <c r="F649" s="9"/>
      <c r="G649" s="9"/>
    </row>
    <row r="650">
      <c r="F650" s="9"/>
      <c r="G650" s="9"/>
    </row>
    <row r="651">
      <c r="F651" s="9"/>
      <c r="G651" s="9"/>
    </row>
    <row r="652">
      <c r="F652" s="9"/>
      <c r="G652" s="9"/>
    </row>
    <row r="653">
      <c r="F653" s="9"/>
      <c r="G653" s="9"/>
    </row>
    <row r="654">
      <c r="F654" s="9"/>
      <c r="G654" s="9"/>
    </row>
    <row r="655">
      <c r="F655" s="9"/>
      <c r="G655" s="9"/>
    </row>
    <row r="656">
      <c r="F656" s="9"/>
      <c r="G656" s="9"/>
    </row>
    <row r="657">
      <c r="F657" s="9"/>
      <c r="G657" s="9"/>
    </row>
    <row r="658">
      <c r="F658" s="9"/>
      <c r="G658" s="9"/>
    </row>
    <row r="659">
      <c r="F659" s="9"/>
      <c r="G659" s="9"/>
    </row>
    <row r="660">
      <c r="F660" s="9"/>
      <c r="G660" s="9"/>
    </row>
    <row r="661">
      <c r="F661" s="9"/>
      <c r="G661" s="9"/>
    </row>
    <row r="662">
      <c r="F662" s="9"/>
      <c r="G662" s="9"/>
    </row>
    <row r="663">
      <c r="F663" s="9"/>
      <c r="G663" s="9"/>
    </row>
    <row r="664">
      <c r="F664" s="9"/>
      <c r="G664" s="9"/>
    </row>
    <row r="665">
      <c r="F665" s="9"/>
      <c r="G665" s="9"/>
    </row>
    <row r="666">
      <c r="F666" s="9"/>
      <c r="G666" s="9"/>
    </row>
    <row r="667">
      <c r="F667" s="9"/>
      <c r="G667" s="9"/>
    </row>
    <row r="668">
      <c r="F668" s="9"/>
      <c r="G668" s="9"/>
    </row>
    <row r="669">
      <c r="F669" s="9"/>
      <c r="G669" s="9"/>
    </row>
    <row r="670">
      <c r="F670" s="9"/>
      <c r="G670" s="9"/>
    </row>
    <row r="671">
      <c r="F671" s="9"/>
      <c r="G671" s="9"/>
    </row>
    <row r="672">
      <c r="F672" s="9"/>
      <c r="G672" s="9"/>
    </row>
    <row r="673">
      <c r="F673" s="9"/>
      <c r="G673" s="9"/>
    </row>
    <row r="674">
      <c r="F674" s="9"/>
      <c r="G674" s="9"/>
    </row>
    <row r="675">
      <c r="F675" s="9"/>
      <c r="G675" s="9"/>
    </row>
    <row r="676">
      <c r="F676" s="9"/>
      <c r="G676" s="9"/>
    </row>
    <row r="677">
      <c r="F677" s="9"/>
      <c r="G677" s="9"/>
    </row>
    <row r="678">
      <c r="F678" s="9"/>
      <c r="G678" s="9"/>
    </row>
    <row r="679">
      <c r="F679" s="9"/>
      <c r="G679" s="9"/>
    </row>
    <row r="680">
      <c r="F680" s="9"/>
      <c r="G680" s="9"/>
    </row>
    <row r="681">
      <c r="F681" s="9"/>
      <c r="G681" s="9"/>
    </row>
    <row r="682">
      <c r="F682" s="9"/>
      <c r="G682" s="9"/>
    </row>
    <row r="683">
      <c r="F683" s="9"/>
      <c r="G683" s="9"/>
    </row>
    <row r="684">
      <c r="F684" s="9"/>
      <c r="G684" s="9"/>
    </row>
    <row r="685">
      <c r="F685" s="9"/>
      <c r="G685" s="9"/>
    </row>
    <row r="686">
      <c r="F686" s="9"/>
      <c r="G686" s="9"/>
    </row>
    <row r="687">
      <c r="F687" s="9"/>
      <c r="G687" s="9"/>
    </row>
    <row r="688">
      <c r="F688" s="9"/>
      <c r="G688" s="9"/>
    </row>
    <row r="689">
      <c r="F689" s="9"/>
      <c r="G689" s="9"/>
    </row>
    <row r="690">
      <c r="F690" s="9"/>
      <c r="G690" s="9"/>
    </row>
    <row r="691">
      <c r="F691" s="9"/>
      <c r="G691" s="9"/>
    </row>
    <row r="692">
      <c r="F692" s="9"/>
      <c r="G692" s="9"/>
    </row>
    <row r="693">
      <c r="F693" s="9"/>
      <c r="G693" s="9"/>
    </row>
    <row r="694">
      <c r="F694" s="9"/>
      <c r="G694" s="9"/>
    </row>
    <row r="695">
      <c r="F695" s="9"/>
      <c r="G695" s="9"/>
    </row>
    <row r="696">
      <c r="F696" s="9"/>
      <c r="G696" s="9"/>
    </row>
    <row r="697">
      <c r="F697" s="9"/>
      <c r="G697" s="9"/>
    </row>
    <row r="698">
      <c r="F698" s="9"/>
      <c r="G698" s="9"/>
    </row>
    <row r="699">
      <c r="F699" s="9"/>
      <c r="G699" s="9"/>
    </row>
    <row r="700">
      <c r="F700" s="9"/>
      <c r="G700" s="9"/>
    </row>
    <row r="701">
      <c r="F701" s="9"/>
      <c r="G701" s="9"/>
    </row>
    <row r="702">
      <c r="F702" s="9"/>
      <c r="G702" s="9"/>
    </row>
    <row r="703">
      <c r="F703" s="9"/>
      <c r="G703" s="9"/>
    </row>
    <row r="704">
      <c r="F704" s="9"/>
      <c r="G704" s="9"/>
    </row>
    <row r="705">
      <c r="F705" s="9"/>
      <c r="G705" s="9"/>
    </row>
    <row r="706">
      <c r="F706" s="9"/>
      <c r="G706" s="9"/>
    </row>
    <row r="707">
      <c r="F707" s="9"/>
      <c r="G707" s="9"/>
    </row>
    <row r="708">
      <c r="F708" s="9"/>
      <c r="G708" s="9"/>
    </row>
    <row r="709">
      <c r="F709" s="9"/>
      <c r="G709" s="9"/>
    </row>
    <row r="710">
      <c r="F710" s="9"/>
      <c r="G710" s="9"/>
    </row>
    <row r="711">
      <c r="F711" s="9"/>
      <c r="G711" s="9"/>
    </row>
    <row r="712">
      <c r="F712" s="9"/>
      <c r="G712" s="9"/>
    </row>
    <row r="713">
      <c r="F713" s="9"/>
      <c r="G713" s="9"/>
    </row>
    <row r="714">
      <c r="F714" s="9"/>
      <c r="G714" s="9"/>
    </row>
    <row r="715">
      <c r="F715" s="9"/>
      <c r="G715" s="9"/>
    </row>
    <row r="716">
      <c r="F716" s="9"/>
      <c r="G716" s="9"/>
    </row>
    <row r="717">
      <c r="F717" s="9"/>
      <c r="G717" s="9"/>
    </row>
    <row r="718">
      <c r="F718" s="9"/>
      <c r="G718" s="9"/>
    </row>
    <row r="719">
      <c r="F719" s="9"/>
      <c r="G719" s="9"/>
    </row>
    <row r="720">
      <c r="F720" s="9"/>
      <c r="G720" s="9"/>
    </row>
    <row r="721">
      <c r="F721" s="9"/>
      <c r="G721" s="9"/>
    </row>
    <row r="722">
      <c r="F722" s="9"/>
      <c r="G722" s="9"/>
    </row>
    <row r="723">
      <c r="F723" s="9"/>
      <c r="G723" s="9"/>
    </row>
    <row r="724">
      <c r="F724" s="9"/>
      <c r="G724" s="9"/>
    </row>
    <row r="725">
      <c r="F725" s="9"/>
      <c r="G725" s="9"/>
    </row>
    <row r="726">
      <c r="F726" s="9"/>
      <c r="G726" s="9"/>
    </row>
    <row r="727">
      <c r="F727" s="9"/>
      <c r="G727" s="9"/>
    </row>
    <row r="728">
      <c r="F728" s="9"/>
      <c r="G728" s="9"/>
    </row>
    <row r="729">
      <c r="F729" s="9"/>
      <c r="G729" s="9"/>
    </row>
    <row r="730">
      <c r="F730" s="9"/>
      <c r="G730" s="9"/>
    </row>
    <row r="731">
      <c r="F731" s="9"/>
      <c r="G731" s="9"/>
    </row>
    <row r="732">
      <c r="F732" s="9"/>
      <c r="G732" s="9"/>
    </row>
    <row r="733">
      <c r="F733" s="9"/>
      <c r="G733" s="9"/>
    </row>
    <row r="734">
      <c r="F734" s="9"/>
      <c r="G734" s="9"/>
    </row>
    <row r="735">
      <c r="F735" s="9"/>
      <c r="G735" s="9"/>
    </row>
    <row r="736">
      <c r="F736" s="9"/>
      <c r="G736" s="9"/>
    </row>
    <row r="737">
      <c r="F737" s="9"/>
      <c r="G737" s="9"/>
    </row>
    <row r="738">
      <c r="F738" s="9"/>
      <c r="G738" s="9"/>
    </row>
    <row r="739">
      <c r="F739" s="9"/>
      <c r="G739" s="9"/>
    </row>
    <row r="740">
      <c r="F740" s="9"/>
      <c r="G740" s="9"/>
    </row>
    <row r="741">
      <c r="F741" s="9"/>
      <c r="G741" s="9"/>
    </row>
    <row r="742">
      <c r="F742" s="9"/>
      <c r="G742" s="9"/>
    </row>
    <row r="743">
      <c r="F743" s="9"/>
      <c r="G743" s="9"/>
    </row>
    <row r="744">
      <c r="F744" s="9"/>
      <c r="G744" s="9"/>
    </row>
    <row r="745">
      <c r="F745" s="9"/>
      <c r="G745" s="9"/>
    </row>
    <row r="746">
      <c r="F746" s="9"/>
      <c r="G746" s="9"/>
    </row>
    <row r="747">
      <c r="F747" s="9"/>
      <c r="G747" s="9"/>
    </row>
    <row r="748">
      <c r="F748" s="9"/>
      <c r="G748" s="9"/>
    </row>
    <row r="749">
      <c r="F749" s="9"/>
      <c r="G749" s="9"/>
    </row>
    <row r="750">
      <c r="F750" s="9"/>
      <c r="G750" s="9"/>
    </row>
    <row r="751">
      <c r="F751" s="9"/>
      <c r="G751" s="9"/>
    </row>
    <row r="752">
      <c r="F752" s="9"/>
      <c r="G752" s="9"/>
    </row>
    <row r="753">
      <c r="F753" s="9"/>
      <c r="G753" s="9"/>
    </row>
    <row r="754">
      <c r="F754" s="9"/>
      <c r="G754" s="9"/>
    </row>
    <row r="755">
      <c r="F755" s="9"/>
      <c r="G755" s="9"/>
    </row>
    <row r="756">
      <c r="F756" s="9"/>
      <c r="G756" s="9"/>
    </row>
    <row r="757">
      <c r="F757" s="9"/>
      <c r="G757" s="9"/>
    </row>
    <row r="758">
      <c r="F758" s="9"/>
      <c r="G758" s="9"/>
    </row>
    <row r="759">
      <c r="F759" s="9"/>
      <c r="G759" s="9"/>
    </row>
    <row r="760">
      <c r="F760" s="9"/>
      <c r="G760" s="9"/>
    </row>
    <row r="761">
      <c r="F761" s="9"/>
      <c r="G761" s="9"/>
    </row>
    <row r="762">
      <c r="F762" s="9"/>
      <c r="G762" s="9"/>
    </row>
    <row r="763">
      <c r="F763" s="9"/>
      <c r="G763" s="9"/>
    </row>
    <row r="764">
      <c r="F764" s="9"/>
      <c r="G764" s="9"/>
    </row>
    <row r="765">
      <c r="F765" s="9"/>
      <c r="G765" s="9"/>
    </row>
    <row r="766">
      <c r="F766" s="9"/>
      <c r="G766" s="9"/>
    </row>
    <row r="767">
      <c r="F767" s="9"/>
      <c r="G767" s="9"/>
    </row>
    <row r="768">
      <c r="F768" s="9"/>
      <c r="G768" s="9"/>
    </row>
    <row r="769">
      <c r="F769" s="9"/>
      <c r="G769" s="9"/>
    </row>
    <row r="770">
      <c r="F770" s="9"/>
      <c r="G770" s="9"/>
    </row>
    <row r="771">
      <c r="F771" s="9"/>
      <c r="G771" s="9"/>
    </row>
    <row r="772">
      <c r="F772" s="9"/>
      <c r="G772" s="9"/>
    </row>
    <row r="773">
      <c r="F773" s="9"/>
      <c r="G773" s="9"/>
    </row>
    <row r="774">
      <c r="F774" s="9"/>
      <c r="G774" s="9"/>
    </row>
    <row r="775">
      <c r="F775" s="9"/>
      <c r="G775" s="9"/>
    </row>
    <row r="776">
      <c r="F776" s="9"/>
      <c r="G776" s="9"/>
    </row>
    <row r="777">
      <c r="F777" s="9"/>
      <c r="G777" s="9"/>
    </row>
    <row r="778">
      <c r="F778" s="9"/>
      <c r="G778" s="9"/>
    </row>
    <row r="779">
      <c r="F779" s="9"/>
      <c r="G779" s="9"/>
    </row>
    <row r="780">
      <c r="F780" s="9"/>
      <c r="G780" s="9"/>
    </row>
    <row r="781">
      <c r="F781" s="9"/>
      <c r="G781" s="9"/>
    </row>
    <row r="782">
      <c r="F782" s="9"/>
      <c r="G782" s="9"/>
    </row>
    <row r="783">
      <c r="F783" s="9"/>
      <c r="G783" s="9"/>
    </row>
    <row r="784">
      <c r="F784" s="9"/>
      <c r="G784" s="9"/>
    </row>
    <row r="785">
      <c r="F785" s="9"/>
      <c r="G785" s="9"/>
    </row>
    <row r="786">
      <c r="F786" s="9"/>
      <c r="G786" s="9"/>
    </row>
    <row r="787">
      <c r="F787" s="9"/>
      <c r="G787" s="9"/>
    </row>
    <row r="788">
      <c r="F788" s="9"/>
      <c r="G788" s="9"/>
    </row>
    <row r="789">
      <c r="F789" s="9"/>
      <c r="G789" s="9"/>
    </row>
    <row r="790">
      <c r="F790" s="9"/>
      <c r="G790" s="9"/>
    </row>
    <row r="791">
      <c r="F791" s="9"/>
      <c r="G791" s="9"/>
    </row>
    <row r="792">
      <c r="F792" s="9"/>
      <c r="G792" s="9"/>
    </row>
    <row r="793">
      <c r="F793" s="9"/>
      <c r="G793" s="9"/>
    </row>
    <row r="794">
      <c r="F794" s="9"/>
      <c r="G794" s="9"/>
    </row>
    <row r="795">
      <c r="F795" s="9"/>
      <c r="G795" s="9"/>
    </row>
    <row r="796">
      <c r="F796" s="9"/>
      <c r="G796" s="9"/>
    </row>
    <row r="797">
      <c r="F797" s="9"/>
      <c r="G797" s="9"/>
    </row>
    <row r="798">
      <c r="F798" s="9"/>
      <c r="G798" s="9"/>
    </row>
    <row r="799">
      <c r="F799" s="9"/>
      <c r="G799" s="9"/>
    </row>
    <row r="800">
      <c r="F800" s="9"/>
      <c r="G800" s="9"/>
    </row>
    <row r="801">
      <c r="F801" s="9"/>
      <c r="G801" s="9"/>
    </row>
    <row r="802">
      <c r="F802" s="9"/>
      <c r="G802" s="9"/>
    </row>
    <row r="803">
      <c r="F803" s="9"/>
      <c r="G803" s="9"/>
    </row>
    <row r="804">
      <c r="F804" s="9"/>
      <c r="G804" s="9"/>
    </row>
    <row r="805">
      <c r="F805" s="9"/>
      <c r="G805" s="9"/>
    </row>
    <row r="806">
      <c r="F806" s="9"/>
      <c r="G806" s="9"/>
    </row>
    <row r="807">
      <c r="F807" s="9"/>
      <c r="G807" s="9"/>
    </row>
    <row r="808">
      <c r="F808" s="9"/>
      <c r="G808" s="9"/>
    </row>
    <row r="809">
      <c r="F809" s="9"/>
      <c r="G809" s="9"/>
    </row>
    <row r="810">
      <c r="F810" s="9"/>
      <c r="G810" s="9"/>
    </row>
    <row r="811">
      <c r="F811" s="9"/>
      <c r="G811" s="9"/>
    </row>
    <row r="812">
      <c r="F812" s="9"/>
      <c r="G812" s="9"/>
    </row>
    <row r="813">
      <c r="F813" s="9"/>
      <c r="G813" s="9"/>
    </row>
    <row r="814">
      <c r="F814" s="9"/>
      <c r="G814" s="9"/>
    </row>
    <row r="815">
      <c r="F815" s="9"/>
      <c r="G815" s="9"/>
    </row>
    <row r="816">
      <c r="F816" s="9"/>
      <c r="G816" s="9"/>
    </row>
    <row r="817">
      <c r="F817" s="9"/>
      <c r="G817" s="9"/>
    </row>
    <row r="818">
      <c r="F818" s="9"/>
      <c r="G818" s="9"/>
    </row>
    <row r="819">
      <c r="F819" s="9"/>
      <c r="G819" s="9"/>
    </row>
    <row r="820">
      <c r="F820" s="9"/>
      <c r="G820" s="9"/>
    </row>
    <row r="821">
      <c r="F821" s="9"/>
      <c r="G821" s="9"/>
    </row>
    <row r="822">
      <c r="F822" s="9"/>
      <c r="G822" s="9"/>
    </row>
    <row r="823">
      <c r="F823" s="9"/>
      <c r="G823" s="9"/>
    </row>
    <row r="824">
      <c r="F824" s="9"/>
      <c r="G824" s="9"/>
    </row>
    <row r="825">
      <c r="F825" s="9"/>
      <c r="G825" s="9"/>
    </row>
    <row r="826">
      <c r="F826" s="9"/>
      <c r="G826" s="9"/>
    </row>
    <row r="827">
      <c r="F827" s="9"/>
      <c r="G827" s="9"/>
    </row>
    <row r="828">
      <c r="F828" s="9"/>
      <c r="G828" s="9"/>
    </row>
    <row r="829">
      <c r="F829" s="9"/>
      <c r="G829" s="9"/>
    </row>
    <row r="830">
      <c r="F830" s="9"/>
      <c r="G830" s="9"/>
    </row>
    <row r="831">
      <c r="F831" s="9"/>
      <c r="G831" s="9"/>
    </row>
    <row r="832">
      <c r="F832" s="9"/>
      <c r="G832" s="9"/>
    </row>
    <row r="833">
      <c r="F833" s="9"/>
      <c r="G833" s="9"/>
    </row>
    <row r="834">
      <c r="F834" s="9"/>
      <c r="G834" s="9"/>
    </row>
    <row r="835">
      <c r="F835" s="9"/>
      <c r="G835" s="9"/>
    </row>
    <row r="836">
      <c r="F836" s="9"/>
      <c r="G836" s="9"/>
    </row>
    <row r="837">
      <c r="F837" s="9"/>
      <c r="G837" s="9"/>
    </row>
    <row r="838">
      <c r="F838" s="9"/>
      <c r="G838" s="9"/>
    </row>
    <row r="839">
      <c r="F839" s="9"/>
      <c r="G839" s="9"/>
    </row>
    <row r="840">
      <c r="F840" s="9"/>
      <c r="G840" s="9"/>
    </row>
    <row r="841">
      <c r="F841" s="9"/>
      <c r="G841" s="9"/>
    </row>
    <row r="842">
      <c r="F842" s="9"/>
      <c r="G842" s="9"/>
    </row>
    <row r="843">
      <c r="F843" s="9"/>
      <c r="G843" s="9"/>
    </row>
    <row r="844">
      <c r="F844" s="9"/>
      <c r="G844" s="9"/>
    </row>
    <row r="845">
      <c r="F845" s="9"/>
      <c r="G845" s="9"/>
    </row>
    <row r="846">
      <c r="F846" s="9"/>
      <c r="G846" s="9"/>
    </row>
    <row r="847">
      <c r="F847" s="9"/>
      <c r="G847" s="9"/>
    </row>
    <row r="848">
      <c r="F848" s="9"/>
      <c r="G848" s="9"/>
    </row>
    <row r="849">
      <c r="F849" s="9"/>
      <c r="G849" s="9"/>
    </row>
    <row r="850">
      <c r="F850" s="9"/>
      <c r="G850" s="9"/>
    </row>
    <row r="851">
      <c r="F851" s="9"/>
      <c r="G851" s="9"/>
    </row>
    <row r="852">
      <c r="F852" s="9"/>
      <c r="G852" s="9"/>
    </row>
    <row r="853">
      <c r="F853" s="9"/>
      <c r="G853" s="9"/>
    </row>
    <row r="854">
      <c r="F854" s="9"/>
      <c r="G854" s="9"/>
    </row>
    <row r="855">
      <c r="F855" s="9"/>
      <c r="G855" s="9"/>
    </row>
    <row r="856">
      <c r="F856" s="9"/>
      <c r="G856" s="9"/>
    </row>
    <row r="857">
      <c r="F857" s="9"/>
      <c r="G857" s="9"/>
    </row>
    <row r="858">
      <c r="F858" s="9"/>
      <c r="G858" s="9"/>
    </row>
    <row r="859">
      <c r="F859" s="9"/>
      <c r="G859" s="9"/>
    </row>
    <row r="860">
      <c r="F860" s="9"/>
      <c r="G860" s="9"/>
    </row>
    <row r="861">
      <c r="F861" s="9"/>
      <c r="G861" s="9"/>
    </row>
    <row r="862">
      <c r="F862" s="9"/>
      <c r="G862" s="9"/>
    </row>
    <row r="863">
      <c r="F863" s="9"/>
      <c r="G863" s="9"/>
    </row>
    <row r="864">
      <c r="F864" s="9"/>
      <c r="G864" s="9"/>
    </row>
    <row r="865">
      <c r="F865" s="9"/>
      <c r="G865" s="9"/>
    </row>
    <row r="866">
      <c r="F866" s="9"/>
      <c r="G866" s="9"/>
    </row>
    <row r="867">
      <c r="F867" s="9"/>
      <c r="G867" s="9"/>
    </row>
    <row r="868">
      <c r="F868" s="9"/>
      <c r="G868" s="9"/>
    </row>
    <row r="869">
      <c r="F869" s="9"/>
      <c r="G869" s="9"/>
    </row>
    <row r="870">
      <c r="F870" s="9"/>
      <c r="G870" s="9"/>
    </row>
    <row r="871">
      <c r="F871" s="9"/>
      <c r="G871" s="9"/>
    </row>
    <row r="872">
      <c r="F872" s="9"/>
      <c r="G872" s="9"/>
    </row>
    <row r="873">
      <c r="F873" s="9"/>
      <c r="G873" s="9"/>
    </row>
    <row r="874">
      <c r="F874" s="9"/>
      <c r="G874" s="9"/>
    </row>
    <row r="875">
      <c r="F875" s="9"/>
      <c r="G875" s="9"/>
    </row>
    <row r="876">
      <c r="F876" s="9"/>
      <c r="G876" s="9"/>
    </row>
    <row r="877">
      <c r="F877" s="9"/>
      <c r="G877" s="9"/>
    </row>
    <row r="878">
      <c r="F878" s="9"/>
      <c r="G878" s="9"/>
    </row>
    <row r="879">
      <c r="F879" s="9"/>
      <c r="G879" s="9"/>
    </row>
    <row r="880">
      <c r="F880" s="9"/>
      <c r="G880" s="9"/>
    </row>
    <row r="881">
      <c r="F881" s="9"/>
      <c r="G881" s="9"/>
    </row>
    <row r="882">
      <c r="F882" s="9"/>
      <c r="G882" s="9"/>
    </row>
    <row r="883">
      <c r="F883" s="9"/>
      <c r="G883" s="9"/>
    </row>
    <row r="884">
      <c r="F884" s="9"/>
      <c r="G884" s="9"/>
    </row>
    <row r="885">
      <c r="F885" s="9"/>
      <c r="G885" s="9"/>
    </row>
    <row r="886">
      <c r="F886" s="9"/>
      <c r="G886" s="9"/>
    </row>
    <row r="887">
      <c r="F887" s="9"/>
      <c r="G887" s="9"/>
    </row>
    <row r="888">
      <c r="F888" s="9"/>
      <c r="G888" s="9"/>
    </row>
    <row r="889">
      <c r="F889" s="9"/>
      <c r="G889" s="9"/>
    </row>
    <row r="890">
      <c r="F890" s="9"/>
      <c r="G890" s="9"/>
    </row>
    <row r="891">
      <c r="F891" s="9"/>
      <c r="G891" s="9"/>
    </row>
    <row r="892">
      <c r="F892" s="9"/>
      <c r="G892" s="9"/>
    </row>
    <row r="893">
      <c r="F893" s="9"/>
      <c r="G893" s="9"/>
    </row>
    <row r="894">
      <c r="F894" s="9"/>
      <c r="G894" s="9"/>
    </row>
    <row r="895">
      <c r="F895" s="9"/>
      <c r="G895" s="9"/>
    </row>
    <row r="896">
      <c r="F896" s="9"/>
      <c r="G896" s="9"/>
    </row>
    <row r="897">
      <c r="F897" s="9"/>
      <c r="G897" s="9"/>
    </row>
    <row r="898">
      <c r="F898" s="9"/>
      <c r="G898" s="9"/>
    </row>
    <row r="899">
      <c r="F899" s="9"/>
      <c r="G899" s="9"/>
    </row>
    <row r="900">
      <c r="F900" s="9"/>
      <c r="G900" s="9"/>
    </row>
    <row r="901">
      <c r="F901" s="9"/>
      <c r="G901" s="9"/>
    </row>
    <row r="902">
      <c r="F902" s="9"/>
      <c r="G902" s="9"/>
    </row>
    <row r="903">
      <c r="F903" s="9"/>
      <c r="G903" s="9"/>
    </row>
    <row r="904">
      <c r="F904" s="9"/>
      <c r="G904" s="9"/>
    </row>
    <row r="905">
      <c r="F905" s="9"/>
      <c r="G905" s="9"/>
    </row>
    <row r="906">
      <c r="F906" s="9"/>
      <c r="G906" s="9"/>
    </row>
    <row r="907">
      <c r="F907" s="9"/>
      <c r="G907" s="9"/>
    </row>
    <row r="908">
      <c r="F908" s="9"/>
      <c r="G908" s="9"/>
    </row>
    <row r="909">
      <c r="F909" s="9"/>
      <c r="G909" s="9"/>
    </row>
    <row r="910">
      <c r="F910" s="9"/>
      <c r="G910" s="9"/>
    </row>
    <row r="911">
      <c r="F911" s="9"/>
      <c r="G911" s="9"/>
    </row>
    <row r="912">
      <c r="F912" s="9"/>
      <c r="G912" s="9"/>
    </row>
    <row r="913">
      <c r="F913" s="9"/>
      <c r="G913" s="9"/>
    </row>
    <row r="914">
      <c r="F914" s="9"/>
      <c r="G914" s="9"/>
    </row>
    <row r="915">
      <c r="F915" s="9"/>
      <c r="G915" s="9"/>
    </row>
    <row r="916">
      <c r="F916" s="9"/>
      <c r="G916" s="9"/>
    </row>
    <row r="917">
      <c r="F917" s="9"/>
      <c r="G917" s="9"/>
    </row>
    <row r="918">
      <c r="F918" s="9"/>
      <c r="G918" s="9"/>
    </row>
    <row r="919">
      <c r="F919" s="9"/>
      <c r="G919" s="9"/>
    </row>
    <row r="920">
      <c r="F920" s="9"/>
      <c r="G920" s="9"/>
    </row>
    <row r="921">
      <c r="F921" s="9"/>
      <c r="G921" s="9"/>
    </row>
    <row r="922">
      <c r="F922" s="9"/>
      <c r="G922" s="9"/>
    </row>
    <row r="923">
      <c r="F923" s="9"/>
      <c r="G923" s="9"/>
    </row>
    <row r="924">
      <c r="F924" s="9"/>
      <c r="G924" s="9"/>
    </row>
    <row r="925">
      <c r="F925" s="9"/>
      <c r="G925" s="9"/>
    </row>
    <row r="926">
      <c r="F926" s="9"/>
      <c r="G926" s="9"/>
    </row>
    <row r="927">
      <c r="F927" s="9"/>
      <c r="G927" s="9"/>
    </row>
    <row r="928">
      <c r="F928" s="9"/>
      <c r="G928" s="9"/>
    </row>
    <row r="929">
      <c r="F929" s="9"/>
      <c r="G929" s="9"/>
    </row>
    <row r="930">
      <c r="F930" s="9"/>
      <c r="G930" s="9"/>
    </row>
    <row r="931">
      <c r="F931" s="9"/>
      <c r="G931" s="9"/>
    </row>
    <row r="932">
      <c r="F932" s="9"/>
      <c r="G932" s="9"/>
    </row>
    <row r="933">
      <c r="F933" s="9"/>
      <c r="G933" s="9"/>
    </row>
    <row r="934">
      <c r="F934" s="9"/>
      <c r="G934" s="9"/>
    </row>
    <row r="935">
      <c r="F935" s="9"/>
      <c r="G935" s="9"/>
    </row>
    <row r="936">
      <c r="F936" s="9"/>
      <c r="G936" s="9"/>
    </row>
    <row r="937">
      <c r="F937" s="9"/>
      <c r="G937" s="9"/>
    </row>
    <row r="938">
      <c r="F938" s="9"/>
      <c r="G938" s="9"/>
    </row>
    <row r="939">
      <c r="F939" s="9"/>
      <c r="G939" s="9"/>
    </row>
    <row r="940">
      <c r="F940" s="9"/>
      <c r="G940" s="9"/>
    </row>
    <row r="941">
      <c r="F941" s="9"/>
      <c r="G941" s="9"/>
    </row>
    <row r="942">
      <c r="F942" s="9"/>
      <c r="G942" s="9"/>
    </row>
    <row r="943">
      <c r="F943" s="9"/>
      <c r="G943" s="9"/>
    </row>
    <row r="944">
      <c r="F944" s="9"/>
      <c r="G944" s="9"/>
    </row>
    <row r="945">
      <c r="F945" s="9"/>
      <c r="G945" s="9"/>
    </row>
    <row r="946">
      <c r="F946" s="9"/>
      <c r="G946" s="9"/>
    </row>
    <row r="947">
      <c r="F947" s="9"/>
      <c r="G947" s="9"/>
    </row>
    <row r="948">
      <c r="F948" s="9"/>
      <c r="G948" s="9"/>
    </row>
    <row r="949">
      <c r="F949" s="9"/>
      <c r="G949" s="9"/>
    </row>
    <row r="950">
      <c r="F950" s="9"/>
      <c r="G950" s="9"/>
    </row>
    <row r="951">
      <c r="F951" s="9"/>
      <c r="G951" s="9"/>
    </row>
    <row r="952">
      <c r="F952" s="9"/>
      <c r="G952" s="9"/>
    </row>
    <row r="953">
      <c r="F953" s="9"/>
      <c r="G953" s="9"/>
    </row>
    <row r="954">
      <c r="F954" s="9"/>
      <c r="G954" s="9"/>
    </row>
    <row r="955">
      <c r="F955" s="9"/>
      <c r="G955" s="9"/>
    </row>
    <row r="956">
      <c r="F956" s="9"/>
      <c r="G956" s="9"/>
    </row>
    <row r="957">
      <c r="F957" s="9"/>
      <c r="G957" s="9"/>
    </row>
    <row r="958">
      <c r="F958" s="9"/>
      <c r="G958" s="9"/>
    </row>
    <row r="959">
      <c r="F959" s="9"/>
      <c r="G959" s="9"/>
    </row>
    <row r="960">
      <c r="F960" s="9"/>
      <c r="G960" s="9"/>
    </row>
    <row r="961">
      <c r="F961" s="9"/>
      <c r="G961" s="9"/>
    </row>
    <row r="962">
      <c r="F962" s="9"/>
      <c r="G962" s="9"/>
    </row>
    <row r="963">
      <c r="F963" s="9"/>
      <c r="G963" s="9"/>
    </row>
    <row r="964">
      <c r="F964" s="9"/>
      <c r="G964" s="9"/>
    </row>
    <row r="965">
      <c r="F965" s="9"/>
      <c r="G965" s="9"/>
    </row>
    <row r="966">
      <c r="F966" s="9"/>
      <c r="G966" s="9"/>
    </row>
    <row r="967">
      <c r="F967" s="9"/>
      <c r="G967" s="9"/>
    </row>
    <row r="968">
      <c r="F968" s="9"/>
      <c r="G968" s="9"/>
    </row>
    <row r="969">
      <c r="F969" s="9"/>
      <c r="G969" s="9"/>
    </row>
    <row r="970">
      <c r="F970" s="9"/>
      <c r="G970" s="9"/>
    </row>
    <row r="971">
      <c r="F971" s="9"/>
      <c r="G971" s="9"/>
    </row>
    <row r="972">
      <c r="F972" s="9"/>
      <c r="G972" s="9"/>
    </row>
    <row r="973">
      <c r="F973" s="9"/>
      <c r="G973" s="9"/>
    </row>
    <row r="974">
      <c r="F974" s="9"/>
      <c r="G974" s="9"/>
    </row>
    <row r="975">
      <c r="F975" s="9"/>
      <c r="G975" s="9"/>
    </row>
    <row r="976">
      <c r="F976" s="9"/>
      <c r="G976" s="9"/>
    </row>
    <row r="977">
      <c r="F977" s="9"/>
      <c r="G977" s="9"/>
    </row>
    <row r="978">
      <c r="F978" s="9"/>
      <c r="G978" s="9"/>
    </row>
    <row r="979">
      <c r="F979" s="9"/>
      <c r="G979" s="9"/>
    </row>
    <row r="980">
      <c r="F980" s="9"/>
      <c r="G980" s="9"/>
    </row>
    <row r="981">
      <c r="F981" s="9"/>
      <c r="G981" s="9"/>
    </row>
    <row r="982">
      <c r="F982" s="9"/>
      <c r="G982" s="9"/>
    </row>
    <row r="983">
      <c r="F983" s="9"/>
      <c r="G983" s="9"/>
    </row>
    <row r="984">
      <c r="F984" s="9"/>
      <c r="G984" s="9"/>
    </row>
    <row r="985">
      <c r="F985" s="9"/>
      <c r="G985" s="9"/>
    </row>
    <row r="986">
      <c r="F986" s="9"/>
      <c r="G986" s="9"/>
    </row>
    <row r="987">
      <c r="F987" s="9"/>
      <c r="G987" s="9"/>
    </row>
    <row r="988">
      <c r="F988" s="9"/>
      <c r="G988" s="9"/>
    </row>
    <row r="989">
      <c r="F989" s="9"/>
      <c r="G989" s="9"/>
    </row>
    <row r="990">
      <c r="F990" s="9"/>
      <c r="G990" s="9"/>
    </row>
    <row r="991">
      <c r="F991" s="9"/>
      <c r="G991" s="9"/>
    </row>
    <row r="992">
      <c r="F992" s="9"/>
      <c r="G992" s="9"/>
    </row>
    <row r="993">
      <c r="F993" s="9"/>
      <c r="G993" s="9"/>
    </row>
    <row r="994">
      <c r="F994" s="9"/>
      <c r="G994" s="9"/>
    </row>
    <row r="995">
      <c r="F995" s="9"/>
      <c r="G995" s="9"/>
    </row>
    <row r="996">
      <c r="F996" s="9"/>
      <c r="G996" s="9"/>
    </row>
    <row r="997">
      <c r="F997" s="9"/>
      <c r="G997" s="9"/>
    </row>
    <row r="998">
      <c r="F998" s="9"/>
      <c r="G998" s="9"/>
    </row>
    <row r="999">
      <c r="F999" s="9"/>
      <c r="G999" s="9"/>
    </row>
    <row r="1000">
      <c r="F1000" s="9"/>
      <c r="G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14.0"/>
  </cols>
  <sheetData>
    <row r="1">
      <c r="A1" s="1" t="s">
        <v>0</v>
      </c>
      <c r="B1" s="1" t="s">
        <v>11</v>
      </c>
      <c r="C1" s="1" t="s">
        <v>12</v>
      </c>
    </row>
    <row r="2">
      <c r="A2" s="1">
        <v>2000.0</v>
      </c>
      <c r="B2" s="10">
        <v>15.58641891</v>
      </c>
      <c r="C2" s="10">
        <v>3.685949418</v>
      </c>
    </row>
    <row r="3">
      <c r="A3" s="1">
        <v>2001.0</v>
      </c>
      <c r="B3" s="10">
        <v>17.03488544</v>
      </c>
      <c r="C3" s="10">
        <v>3.748157297</v>
      </c>
    </row>
    <row r="4">
      <c r="A4" s="1">
        <v>2002.0</v>
      </c>
      <c r="B4" s="10">
        <v>17.60896406</v>
      </c>
      <c r="C4" s="10">
        <v>3.703892218</v>
      </c>
    </row>
    <row r="5">
      <c r="A5" s="1">
        <v>2003.0</v>
      </c>
      <c r="B5" s="10">
        <v>16.47457121</v>
      </c>
      <c r="C5" s="10">
        <v>3.766765145</v>
      </c>
    </row>
    <row r="6">
      <c r="A6" s="1">
        <v>2004.0</v>
      </c>
      <c r="B6" s="10">
        <v>14.49483318</v>
      </c>
      <c r="C6" s="10">
        <v>3.563309998</v>
      </c>
    </row>
    <row r="7">
      <c r="A7" s="1">
        <v>2005.0</v>
      </c>
      <c r="B7" s="10">
        <v>13.50091954</v>
      </c>
      <c r="C7" s="10">
        <v>3.194154895</v>
      </c>
    </row>
    <row r="8">
      <c r="A8" s="1">
        <v>2006.0</v>
      </c>
      <c r="B8" s="10">
        <v>14.34864128</v>
      </c>
      <c r="C8" s="10">
        <v>3.151793684</v>
      </c>
    </row>
    <row r="9">
      <c r="A9" s="1">
        <v>2007.0</v>
      </c>
      <c r="B9" s="10">
        <v>13.97084617</v>
      </c>
      <c r="C9" s="10">
        <v>3.097151304</v>
      </c>
    </row>
    <row r="10">
      <c r="A10" s="1">
        <v>2008.0</v>
      </c>
      <c r="B10" s="10">
        <v>13.75342565</v>
      </c>
      <c r="C10" s="10">
        <v>3.181558149</v>
      </c>
    </row>
    <row r="11">
      <c r="A11" s="1">
        <v>2009.0</v>
      </c>
      <c r="B11" s="10">
        <v>11.16074814</v>
      </c>
      <c r="C11" s="10">
        <v>2.589211639</v>
      </c>
    </row>
    <row r="12">
      <c r="A12" s="1">
        <v>2010.0</v>
      </c>
      <c r="B12" s="10">
        <v>10.59702914</v>
      </c>
      <c r="C12" s="10">
        <v>2.379271285</v>
      </c>
    </row>
    <row r="13">
      <c r="A13" s="1">
        <v>2011.0</v>
      </c>
      <c r="B13" s="10">
        <v>9.686997038</v>
      </c>
      <c r="C13" s="10">
        <v>2.277276755</v>
      </c>
    </row>
    <row r="14">
      <c r="A14" s="1">
        <v>2012.0</v>
      </c>
      <c r="B14" s="10">
        <v>8.096943942</v>
      </c>
      <c r="C14" s="10">
        <v>2.759781592</v>
      </c>
    </row>
    <row r="15">
      <c r="A15" s="1">
        <v>2013.0</v>
      </c>
      <c r="B15" s="10">
        <v>6.980055976</v>
      </c>
      <c r="C15" s="10">
        <v>2.848673236</v>
      </c>
    </row>
    <row r="16">
      <c r="A16" s="1">
        <v>2014.0</v>
      </c>
      <c r="B16" s="10">
        <v>6.506052128</v>
      </c>
      <c r="C16" s="11">
        <v>2.998076467</v>
      </c>
    </row>
    <row r="17">
      <c r="A17" s="1">
        <v>2015.0</v>
      </c>
      <c r="B17" s="10">
        <v>4.899268851</v>
      </c>
      <c r="C17" s="10">
        <v>2.900834232</v>
      </c>
    </row>
    <row r="18">
      <c r="A18" s="1">
        <v>2016.0</v>
      </c>
      <c r="B18" s="10">
        <v>4.333033897</v>
      </c>
      <c r="C18" s="10">
        <v>2.962710564</v>
      </c>
    </row>
    <row r="19">
      <c r="A19" s="1">
        <v>2017.0</v>
      </c>
      <c r="B19" s="10">
        <v>4.279426154</v>
      </c>
      <c r="C19" s="10">
        <v>2.906149854</v>
      </c>
    </row>
    <row r="20">
      <c r="A20" s="1">
        <v>2018.0</v>
      </c>
      <c r="B20" s="10">
        <v>4.11963943</v>
      </c>
      <c r="C20" s="10">
        <v>2.879427361</v>
      </c>
    </row>
    <row r="21">
      <c r="A21" s="1">
        <v>2019.0</v>
      </c>
      <c r="B21" s="10">
        <v>3.641314331</v>
      </c>
      <c r="C21" s="10">
        <v>3.027000764</v>
      </c>
    </row>
    <row r="22">
      <c r="A22" s="1">
        <v>2020.0</v>
      </c>
      <c r="B22" s="10">
        <v>3.281969451</v>
      </c>
      <c r="C22" s="10">
        <v>3.445576367</v>
      </c>
    </row>
    <row r="23">
      <c r="A23" s="1">
        <v>2021.0</v>
      </c>
      <c r="B23" s="10">
        <v>3.167735988</v>
      </c>
      <c r="C23" s="10">
        <v>2.699388136</v>
      </c>
    </row>
    <row r="24">
      <c r="A24" s="1">
        <v>2022.0</v>
      </c>
      <c r="B24" s="10">
        <v>3.799178855</v>
      </c>
      <c r="C24" s="10">
        <v>2.423195253</v>
      </c>
    </row>
    <row r="25">
      <c r="A25" s="1">
        <v>2023.0</v>
      </c>
      <c r="B25" s="10">
        <v>3.247295136</v>
      </c>
      <c r="C25" s="10">
        <v>2.47355311</v>
      </c>
    </row>
    <row r="26">
      <c r="B26" s="9"/>
    </row>
    <row r="27">
      <c r="B27" s="9"/>
    </row>
    <row r="28">
      <c r="B28" s="9"/>
    </row>
    <row r="29">
      <c r="B29" s="9"/>
    </row>
    <row r="30">
      <c r="B30" s="9"/>
    </row>
    <row r="31">
      <c r="B31" s="9"/>
    </row>
    <row r="32">
      <c r="B32" s="9"/>
    </row>
    <row r="33">
      <c r="B33" s="9"/>
    </row>
    <row r="34">
      <c r="B34" s="9"/>
    </row>
    <row r="35">
      <c r="B35" s="9"/>
    </row>
    <row r="36">
      <c r="B36" s="9"/>
    </row>
    <row r="37">
      <c r="B37" s="9"/>
    </row>
    <row r="38">
      <c r="B38" s="9"/>
    </row>
    <row r="39">
      <c r="B39" s="9"/>
    </row>
    <row r="40">
      <c r="B40" s="9"/>
    </row>
    <row r="41">
      <c r="B41" s="9"/>
    </row>
    <row r="42">
      <c r="B42" s="9"/>
    </row>
    <row r="43">
      <c r="B43" s="9"/>
    </row>
    <row r="44">
      <c r="B44" s="9"/>
    </row>
    <row r="45">
      <c r="B45" s="9"/>
    </row>
    <row r="46">
      <c r="B46" s="9"/>
    </row>
    <row r="47">
      <c r="B47" s="9"/>
    </row>
    <row r="48">
      <c r="B48" s="9"/>
    </row>
    <row r="49">
      <c r="B49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32.13"/>
    <col customWidth="1" min="3" max="3" width="32.0"/>
    <col customWidth="1" min="4" max="4" width="31.13"/>
    <col customWidth="1" min="5" max="5" width="31.88"/>
  </cols>
  <sheetData>
    <row r="1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</row>
    <row r="2">
      <c r="A2" s="1">
        <v>2000.0</v>
      </c>
      <c r="B2" s="10">
        <v>3.0627E7</v>
      </c>
      <c r="C2" s="11">
        <v>1.459482E9</v>
      </c>
      <c r="D2" s="11">
        <v>3.486612E7</v>
      </c>
      <c r="E2" s="11">
        <v>1.480506796E9</v>
      </c>
    </row>
    <row r="3">
      <c r="A3" s="1">
        <v>2001.0</v>
      </c>
      <c r="B3" s="11">
        <v>3.7864804E7</v>
      </c>
      <c r="C3" s="11">
        <v>1.735735901E9</v>
      </c>
      <c r="D3" s="11">
        <v>2.9569068E7</v>
      </c>
      <c r="E3" s="11">
        <v>1.431083834E9</v>
      </c>
    </row>
    <row r="4">
      <c r="A4" s="1">
        <v>2002.0</v>
      </c>
      <c r="B4" s="11">
        <v>9.1639309E7</v>
      </c>
      <c r="C4" s="11">
        <v>1.934591201E9</v>
      </c>
      <c r="D4" s="11">
        <v>2.7146953E7</v>
      </c>
      <c r="E4" s="11">
        <v>1.392267322E9</v>
      </c>
    </row>
    <row r="5">
      <c r="A5" s="1">
        <v>2003.0</v>
      </c>
      <c r="B5" s="11">
        <v>1.06726549E8</v>
      </c>
      <c r="C5" s="11">
        <v>2.074650637E9</v>
      </c>
      <c r="D5" s="11">
        <v>3.0132383E7</v>
      </c>
      <c r="E5" s="11">
        <v>1.437417174E9</v>
      </c>
    </row>
    <row r="6">
      <c r="A6" s="1">
        <v>2004.0</v>
      </c>
      <c r="B6" s="11">
        <v>1.65105945E8</v>
      </c>
      <c r="C6" s="11">
        <v>2.198027458E9</v>
      </c>
      <c r="D6" s="11">
        <v>8.3419507E7</v>
      </c>
      <c r="E6" s="11">
        <v>1.460426216E9</v>
      </c>
    </row>
    <row r="7">
      <c r="A7" s="1">
        <v>2005.0</v>
      </c>
      <c r="B7" s="11">
        <v>1.93667934E8</v>
      </c>
      <c r="C7" s="11">
        <v>2.437634952E9</v>
      </c>
      <c r="D7" s="11">
        <v>2.893289E7</v>
      </c>
      <c r="E7" s="11">
        <v>1.522519341E9</v>
      </c>
    </row>
    <row r="8">
      <c r="A8" s="1">
        <v>2006.0</v>
      </c>
      <c r="B8" s="11">
        <v>2.04265875E8</v>
      </c>
      <c r="C8" s="11">
        <v>2.955178588E9</v>
      </c>
      <c r="D8" s="11">
        <v>3.59918E7</v>
      </c>
      <c r="E8" s="11">
        <v>1.642919116E9</v>
      </c>
    </row>
    <row r="9">
      <c r="A9" s="1">
        <v>2007.0</v>
      </c>
      <c r="B9" s="11">
        <v>2.40381303E8</v>
      </c>
      <c r="C9" s="11">
        <v>3.307903318E9</v>
      </c>
      <c r="D9" s="11">
        <v>4.5395941E7</v>
      </c>
      <c r="E9" s="11">
        <v>1.72302189E9</v>
      </c>
    </row>
    <row r="10">
      <c r="A10" s="1">
        <v>2008.0</v>
      </c>
      <c r="B10" s="11">
        <v>2.9916264E8</v>
      </c>
      <c r="C10" s="11">
        <v>3.888662117E9</v>
      </c>
      <c r="D10" s="11">
        <v>1.05758594E8</v>
      </c>
      <c r="E10" s="11">
        <v>1.966300863E9</v>
      </c>
    </row>
    <row r="11">
      <c r="A11" s="1">
        <v>2009.0</v>
      </c>
      <c r="B11" s="11">
        <v>2.75755027E8</v>
      </c>
      <c r="C11" s="11">
        <v>3.611180935E9</v>
      </c>
      <c r="D11" s="11">
        <v>1.48975783E8</v>
      </c>
      <c r="E11" s="11">
        <v>1.709538525E9</v>
      </c>
    </row>
    <row r="12">
      <c r="A12" s="1">
        <v>2010.0</v>
      </c>
      <c r="B12" s="11">
        <v>3.2885427E8</v>
      </c>
      <c r="C12" s="11">
        <v>4.110094313E9</v>
      </c>
      <c r="D12" s="11">
        <v>2.1631273E8</v>
      </c>
      <c r="E12" s="11">
        <v>2.015595679E9</v>
      </c>
    </row>
    <row r="13">
      <c r="A13" s="1">
        <v>2011.0</v>
      </c>
      <c r="B13" s="11">
        <v>5.32071208E8</v>
      </c>
      <c r="C13" s="11">
        <v>4.941644716E9</v>
      </c>
      <c r="D13" s="11">
        <v>2.51158776E8</v>
      </c>
      <c r="E13" s="11">
        <v>2.439529962E9</v>
      </c>
    </row>
    <row r="14">
      <c r="A14" s="1">
        <v>2012.0</v>
      </c>
      <c r="B14" s="11">
        <v>6.42854662E8</v>
      </c>
      <c r="C14" s="11">
        <v>4.868035258E9</v>
      </c>
      <c r="D14" s="11">
        <v>2.07937206E8</v>
      </c>
      <c r="E14" s="11">
        <v>2.753071881E9</v>
      </c>
    </row>
    <row r="15">
      <c r="A15" s="1">
        <v>2013.0</v>
      </c>
      <c r="B15" s="11">
        <v>7.14755472E8</v>
      </c>
      <c r="C15" s="11">
        <v>5.062027398E9</v>
      </c>
      <c r="D15" s="11">
        <v>2.16456109E8</v>
      </c>
      <c r="E15" s="11">
        <v>2.856355256E9</v>
      </c>
    </row>
    <row r="16">
      <c r="A16" s="1">
        <v>2014.0</v>
      </c>
      <c r="B16" s="11">
        <v>1.049754996E9</v>
      </c>
      <c r="C16" s="11">
        <v>5.76264163E9</v>
      </c>
      <c r="D16" s="11">
        <v>2.10368458E8</v>
      </c>
      <c r="E16" s="11">
        <v>3.111926026E9</v>
      </c>
    </row>
    <row r="17">
      <c r="A17" s="1">
        <v>2015.0</v>
      </c>
      <c r="B17" s="11">
        <v>1.04291601E9</v>
      </c>
      <c r="C17" s="11">
        <v>4.838124426E9</v>
      </c>
      <c r="D17" s="11">
        <v>1.95846315E8</v>
      </c>
      <c r="E17" s="11">
        <v>2.658638176E9</v>
      </c>
    </row>
    <row r="18">
      <c r="A18" s="1">
        <v>2016.0</v>
      </c>
      <c r="B18" s="11">
        <v>1.088047406E9</v>
      </c>
      <c r="C18" s="11">
        <v>5.184388211E9</v>
      </c>
      <c r="D18" s="11">
        <v>2.35033263E8</v>
      </c>
      <c r="E18" s="11">
        <v>2.900603629E9</v>
      </c>
    </row>
    <row r="19">
      <c r="A19" s="1">
        <v>2017.0</v>
      </c>
      <c r="B19" s="11">
        <v>1.38623562E9</v>
      </c>
      <c r="C19" s="11">
        <v>6.141701246E9</v>
      </c>
      <c r="D19" s="11">
        <v>2.85634274E8</v>
      </c>
      <c r="E19" s="11">
        <v>3.273305247E9</v>
      </c>
    </row>
    <row r="20">
      <c r="A20" s="1">
        <v>2018.0</v>
      </c>
      <c r="B20" s="11">
        <v>1.522080124E9</v>
      </c>
      <c r="C20" s="11">
        <v>6.407587808E9</v>
      </c>
      <c r="D20" s="11">
        <v>2.90777199E8</v>
      </c>
      <c r="E20" s="11">
        <v>3.311915869E9</v>
      </c>
    </row>
    <row r="21">
      <c r="A21" s="1">
        <v>2019.0</v>
      </c>
      <c r="B21" s="11">
        <v>1.572080939E9</v>
      </c>
      <c r="C21" s="11">
        <v>6.205145147E9</v>
      </c>
      <c r="D21" s="11">
        <v>2.99109919E8</v>
      </c>
      <c r="E21" s="11">
        <v>3.268801475E9</v>
      </c>
    </row>
    <row r="22">
      <c r="A22" s="1">
        <v>2020.0</v>
      </c>
      <c r="B22" s="11">
        <v>1.594193516E9</v>
      </c>
      <c r="C22" s="11">
        <v>5.771043979E9</v>
      </c>
      <c r="D22" s="11">
        <v>2.56754044E8</v>
      </c>
      <c r="E22" s="11">
        <v>3.513112771E9</v>
      </c>
    </row>
    <row r="23">
      <c r="A23" s="1">
        <v>2021.0</v>
      </c>
      <c r="B23" s="11">
        <v>1.796742074E9</v>
      </c>
      <c r="C23" s="11">
        <v>6.304923224E9</v>
      </c>
      <c r="D23" s="11">
        <v>3.33392815E8</v>
      </c>
      <c r="E23" s="11">
        <v>3.707404752E9</v>
      </c>
    </row>
    <row r="24">
      <c r="A24" s="1">
        <v>2022.0</v>
      </c>
      <c r="B24" s="11">
        <v>2.382894326E9</v>
      </c>
      <c r="C24" s="11">
        <v>7.979123881E9</v>
      </c>
      <c r="D24" s="11">
        <v>5.3565243E8</v>
      </c>
      <c r="E24" s="11">
        <v>4.00909855E9</v>
      </c>
    </row>
    <row r="25">
      <c r="A25" s="1">
        <v>2023.0</v>
      </c>
      <c r="B25" s="11">
        <v>2.245333613E9</v>
      </c>
      <c r="C25" s="11">
        <v>6.463382524E9</v>
      </c>
      <c r="D25" s="11">
        <v>4.79567997E8</v>
      </c>
      <c r="E25" s="11">
        <v>3.61887045E9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6.75"/>
  </cols>
  <sheetData>
    <row r="1">
      <c r="A1" s="1" t="s">
        <v>0</v>
      </c>
      <c r="B1" s="1" t="s">
        <v>11</v>
      </c>
      <c r="C1" s="1" t="s">
        <v>12</v>
      </c>
    </row>
    <row r="2">
      <c r="A2" s="1">
        <v>2000.0</v>
      </c>
      <c r="B2" s="10">
        <v>0.95889294</v>
      </c>
      <c r="C2" s="10">
        <v>0.9539834457</v>
      </c>
    </row>
    <row r="3">
      <c r="A3" s="1">
        <v>2001.0</v>
      </c>
      <c r="B3" s="10">
        <v>0.9573017716</v>
      </c>
      <c r="C3" s="10">
        <v>0.9595125331</v>
      </c>
    </row>
    <row r="4">
      <c r="A4" s="1">
        <v>2002.0</v>
      </c>
      <c r="B4" s="10">
        <v>0.9095470051</v>
      </c>
      <c r="C4" s="10">
        <v>0.9617490771</v>
      </c>
    </row>
    <row r="5">
      <c r="A5" s="1">
        <v>2003.0</v>
      </c>
      <c r="B5" s="10">
        <v>0.9021475518</v>
      </c>
      <c r="C5" s="10">
        <v>0.9589351067</v>
      </c>
    </row>
    <row r="6">
      <c r="A6" s="1">
        <v>2004.0</v>
      </c>
      <c r="B6" s="10">
        <v>0.8602652353</v>
      </c>
      <c r="C6" s="10">
        <v>0.8919328457</v>
      </c>
    </row>
    <row r="7">
      <c r="A7" s="1">
        <v>2005.0</v>
      </c>
      <c r="B7" s="10">
        <v>0.8527969281</v>
      </c>
      <c r="C7" s="10">
        <v>0.9627021839</v>
      </c>
    </row>
    <row r="8">
      <c r="A8" s="1">
        <v>2006.0</v>
      </c>
      <c r="B8" s="10">
        <v>0.8706950685</v>
      </c>
      <c r="C8" s="10">
        <v>0.9571248246</v>
      </c>
    </row>
    <row r="9">
      <c r="A9" s="1">
        <v>2007.0</v>
      </c>
      <c r="B9" s="10">
        <v>0.8645084436</v>
      </c>
      <c r="C9" s="10">
        <v>0.9486592589</v>
      </c>
    </row>
    <row r="10">
      <c r="A10" s="1">
        <v>2008.0</v>
      </c>
      <c r="B10" s="10">
        <v>0.8571274314</v>
      </c>
      <c r="C10" s="10">
        <v>0.8979193443</v>
      </c>
    </row>
    <row r="11">
      <c r="A11" s="1">
        <v>2009.0</v>
      </c>
      <c r="B11" s="10">
        <v>0.8581118754</v>
      </c>
      <c r="C11" s="10">
        <v>0.8396829313</v>
      </c>
    </row>
    <row r="12">
      <c r="A12" s="1">
        <v>2010.0</v>
      </c>
      <c r="B12" s="10">
        <v>0.851832359</v>
      </c>
      <c r="C12" s="10">
        <v>0.8061634347</v>
      </c>
    </row>
    <row r="13">
      <c r="A13" s="1">
        <v>2011.0</v>
      </c>
      <c r="B13" s="10">
        <v>0.8055904927</v>
      </c>
      <c r="C13" s="10">
        <v>0.8133126493</v>
      </c>
    </row>
    <row r="14">
      <c r="A14" s="1">
        <v>2012.0</v>
      </c>
      <c r="B14" s="10">
        <v>0.7666966057</v>
      </c>
      <c r="C14" s="10">
        <v>0.8595497684</v>
      </c>
    </row>
    <row r="15">
      <c r="A15" s="1">
        <v>2013.0</v>
      </c>
      <c r="B15" s="10">
        <v>0.7525420331</v>
      </c>
      <c r="C15" s="10">
        <v>0.859115264</v>
      </c>
    </row>
    <row r="16">
      <c r="A16" s="1">
        <v>2014.0</v>
      </c>
      <c r="B16" s="10">
        <v>0.6918103705</v>
      </c>
      <c r="C16" s="10">
        <v>0.8733595357</v>
      </c>
    </row>
    <row r="17">
      <c r="A17" s="1">
        <v>2015.0</v>
      </c>
      <c r="B17" s="10">
        <v>0.6453294204</v>
      </c>
      <c r="C17" s="10">
        <v>0.8627799061</v>
      </c>
    </row>
    <row r="18">
      <c r="A18" s="1">
        <v>2016.0</v>
      </c>
      <c r="B18" s="10">
        <v>0.6530702035</v>
      </c>
      <c r="C18" s="10">
        <v>0.8500889796</v>
      </c>
    </row>
    <row r="19">
      <c r="A19" s="1">
        <v>2017.0</v>
      </c>
      <c r="B19" s="10">
        <v>0.6317090208</v>
      </c>
      <c r="C19" s="10">
        <v>0.8394834909</v>
      </c>
    </row>
    <row r="20">
      <c r="A20" s="1">
        <v>2018.0</v>
      </c>
      <c r="B20" s="10">
        <v>0.6161049524</v>
      </c>
      <c r="C20" s="10">
        <v>0.8385778674</v>
      </c>
    </row>
    <row r="21">
      <c r="A21" s="1">
        <v>2019.0</v>
      </c>
      <c r="B21" s="10">
        <v>0.5957219395</v>
      </c>
      <c r="C21" s="10">
        <v>0.8323333256</v>
      </c>
    </row>
    <row r="22">
      <c r="A22" s="1">
        <v>2020.0</v>
      </c>
      <c r="B22" s="10">
        <v>0.5671032965</v>
      </c>
      <c r="C22" s="10">
        <v>0.863786146</v>
      </c>
    </row>
    <row r="23">
      <c r="A23" s="1">
        <v>2021.0</v>
      </c>
      <c r="B23" s="10">
        <v>0.556451172</v>
      </c>
      <c r="C23" s="10">
        <v>0.8349866285</v>
      </c>
    </row>
    <row r="24">
      <c r="A24" s="1">
        <v>2022.0</v>
      </c>
      <c r="B24" s="10">
        <v>0.5400713879</v>
      </c>
      <c r="C24" s="10">
        <v>0.7642764445</v>
      </c>
    </row>
    <row r="25">
      <c r="A25" s="1">
        <v>2023.0</v>
      </c>
      <c r="B25" s="10">
        <v>0.4843479618</v>
      </c>
      <c r="C25" s="10">
        <v>0.7659752595</v>
      </c>
    </row>
  </sheetData>
  <drawing r:id="rId1"/>
</worksheet>
</file>